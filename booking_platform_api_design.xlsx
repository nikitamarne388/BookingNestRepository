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turaj\OneDrive\Documents\Nikita-Docs\BookingNest-A-Booking-Platform\"/>
    </mc:Choice>
  </mc:AlternateContent>
  <xr:revisionPtr revIDLastSave="0" documentId="13_ncr:1_{50C86739-7BF1-47F4-AFFC-0C886AFFFD69}" xr6:coauthVersionLast="47" xr6:coauthVersionMax="47" xr10:uidLastSave="{00000000-0000-0000-0000-000000000000}"/>
  <bookViews>
    <workbookView xWindow="-108" yWindow="-108" windowWidth="23256" windowHeight="12456" tabRatio="500" firstSheet="8" activeTab="9" xr2:uid="{00000000-000D-0000-FFFF-FFFF00000000}"/>
  </bookViews>
  <sheets>
    <sheet name="Summary" sheetId="1" r:id="rId1"/>
    <sheet name="API Endpoints" sheetId="2" r:id="rId2"/>
    <sheet name="Domain Entities" sheetId="3" r:id="rId3"/>
    <sheet name="Entity Fields" sheetId="4" r:id="rId4"/>
    <sheet name="Relationships" sheetId="5" r:id="rId5"/>
    <sheet name="Enums" sheetId="6" r:id="rId6"/>
    <sheet name="Constraints &amp; Indexes" sheetId="7" r:id="rId7"/>
    <sheet name="Booking Lifecycle" sheetId="9" r:id="rId8"/>
    <sheet name="DTO Catalog" sheetId="8" r:id="rId9"/>
    <sheet name="Practice Topics" sheetId="10" r:id="rId10"/>
    <sheet name="Conventions" sheetId="11" r:id="rId11"/>
    <sheet name="Build Order" sheetId="12" r:id="rId12"/>
  </sheets>
  <definedNames>
    <definedName name="_xlnm._FilterDatabase" localSheetId="1" hidden="1">'API Endpoints'!$A$1:$G$130</definedName>
    <definedName name="_xlnm._FilterDatabase" localSheetId="11" hidden="1">'Build Order'!$A$1:$C$10</definedName>
    <definedName name="_xlnm._FilterDatabase" localSheetId="6" hidden="1">'Constraints &amp; Indexes'!$A$1:$E$75</definedName>
    <definedName name="_xlnm._FilterDatabase" localSheetId="10" hidden="1">Conventions!$A$1:$B$17</definedName>
    <definedName name="_xlnm._FilterDatabase" localSheetId="2" hidden="1">'Domain Entities'!$A$1:$E$34</definedName>
    <definedName name="_xlnm._FilterDatabase" localSheetId="8" hidden="1">'DTO Catalog'!$A$1:$D$44</definedName>
    <definedName name="_xlnm._FilterDatabase" localSheetId="3" hidden="1">'Entity Fields'!$A$1:$P$336</definedName>
    <definedName name="_xlnm._FilterDatabase" localSheetId="5" hidden="1">Enums!$A$1:$C$80</definedName>
    <definedName name="_xlnm._FilterDatabase" localSheetId="9" hidden="1">'Practice Topics'!$A$1:$C$13</definedName>
    <definedName name="_xlnm._FilterDatabase" localSheetId="4" hidden="1">Relationships!$A$1:$F$45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3" l="1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B14" i="1"/>
  <c r="B13" i="1"/>
  <c r="B12" i="1"/>
  <c r="B11" i="1"/>
  <c r="E7" i="1"/>
  <c r="D7" i="1"/>
  <c r="C7" i="1"/>
  <c r="B7" i="1"/>
  <c r="E6" i="1"/>
  <c r="D6" i="1"/>
  <c r="C6" i="1"/>
  <c r="B6" i="1"/>
  <c r="E5" i="1"/>
  <c r="D5" i="1"/>
  <c r="C5" i="1"/>
  <c r="B5" i="1"/>
  <c r="D8" i="1" l="1"/>
  <c r="C8" i="1"/>
  <c r="F6" i="1"/>
  <c r="F7" i="1"/>
  <c r="E8" i="1"/>
  <c r="F5" i="1"/>
  <c r="B8" i="1"/>
  <c r="F8" i="1" l="1"/>
</calcChain>
</file>

<file path=xl/sharedStrings.xml><?xml version="1.0" encoding="utf-8"?>
<sst xmlns="http://schemas.openxmlformats.org/spreadsheetml/2006/main" count="5519" uniqueCount="1499">
  <si>
    <t>Bookings Platform (GetYourGuide-style) - API Design</t>
  </si>
  <si>
    <t>All endpoints are prefixed with /api/v1. Track your progress with the Status column on the 'API Endpoints' sheet.</t>
  </si>
  <si>
    <t>Module</t>
  </si>
  <si>
    <t>Total endpoints</t>
  </si>
  <si>
    <t>Not started</t>
  </si>
  <si>
    <t>In progress</t>
  </si>
  <si>
    <t>Done</t>
  </si>
  <si>
    <t>% Done</t>
  </si>
  <si>
    <t>Customer</t>
  </si>
  <si>
    <t>Supplier</t>
  </si>
  <si>
    <t>Admin</t>
  </si>
  <si>
    <t>Total</t>
  </si>
  <si>
    <t>Design stats</t>
  </si>
  <si>
    <t>Entities / tables</t>
  </si>
  <si>
    <t>Fields (columns)</t>
  </si>
  <si>
    <t>Enums</t>
  </si>
  <si>
    <t>DTO classes (catalog)</t>
  </si>
  <si>
    <t>Sheets in this workbook</t>
  </si>
  <si>
    <t>API Endpoints - every endpoint with module, group, method, path, purpose, status</t>
  </si>
  <si>
    <t>Domain Entities - entities and their tables, with field counts</t>
  </si>
  <si>
    <t>Entity Fields - every column: Java/PostgreSQL types, keys, defaults, validation, DTO flags</t>
  </si>
  <si>
    <t>Relationships - cardinality, FK columns and JPA notes</t>
  </si>
  <si>
    <t>Enums - all enum values and where they are used</t>
  </si>
  <si>
    <t>Constraints &amp; Indexes - unique, check and index definitions per table</t>
  </si>
  <si>
    <t>DTO Catalog - request/response DTOs that are not 1:1 with an entity</t>
  </si>
  <si>
    <t>Booking Lifecycle - status transitions</t>
  </si>
  <si>
    <t>Practice Topics - interesting problems to practise</t>
  </si>
  <si>
    <t>Conventions - cross-cutting API, naming and DTO conventions</t>
  </si>
  <si>
    <t>Build Order - suggested implementation sequence</t>
  </si>
  <si>
    <t>#</t>
  </si>
  <si>
    <t>Group</t>
  </si>
  <si>
    <t>Method</t>
  </si>
  <si>
    <t>Endpoint (under /api/v1)</t>
  </si>
  <si>
    <t>Purpose / Notes</t>
  </si>
  <si>
    <t>Status</t>
  </si>
  <si>
    <t>Auth &amp; Users</t>
  </si>
  <si>
    <t>POST</t>
  </si>
  <si>
    <t>/auth/register</t>
  </si>
  <si>
    <t>Customer signup</t>
  </si>
  <si>
    <t>/auth/login</t>
  </si>
  <si>
    <t>Returns access and refresh tokens</t>
  </si>
  <si>
    <t>/auth/refresh-token</t>
  </si>
  <si>
    <t>Renew access token</t>
  </si>
  <si>
    <t>/auth/logout</t>
  </si>
  <si>
    <t>Invalidate refresh token</t>
  </si>
  <si>
    <t>/auth/forgot-password</t>
  </si>
  <si>
    <t>Send reset link</t>
  </si>
  <si>
    <t>/auth/reset-password</t>
  </si>
  <si>
    <t>Set new password</t>
  </si>
  <si>
    <t>GET</t>
  </si>
  <si>
    <t>/auth/verify-email?token=</t>
  </si>
  <si>
    <t>Email verification</t>
  </si>
  <si>
    <t>/users/me</t>
  </si>
  <si>
    <t>Own profile</t>
  </si>
  <si>
    <t>PUT</t>
  </si>
  <si>
    <t>Update profile</t>
  </si>
  <si>
    <t>PATCH</t>
  </si>
  <si>
    <t>/users/me/password</t>
  </si>
  <si>
    <t>Change password</t>
  </si>
  <si>
    <t>DELETE</t>
  </si>
  <si>
    <t>Delete or deactivate account</t>
  </si>
  <si>
    <t>Destinations &amp; Categories</t>
  </si>
  <si>
    <t>/destinations</t>
  </si>
  <si>
    <t>List destinations (public)</t>
  </si>
  <si>
    <t>/destinations/{id}</t>
  </si>
  <si>
    <t>Destination details</t>
  </si>
  <si>
    <t>/destinations/{id}/activities</t>
  </si>
  <si>
    <t>Activities in a destination</t>
  </si>
  <si>
    <t>/destinations/popular</t>
  </si>
  <si>
    <t>Popular destinations</t>
  </si>
  <si>
    <t>/categories</t>
  </si>
  <si>
    <t>List categories</t>
  </si>
  <si>
    <t>/categories/{id}/activities</t>
  </si>
  <si>
    <t>Activities in a category</t>
  </si>
  <si>
    <t>Activities (browse &amp; search)</t>
  </si>
  <si>
    <t>/activities</t>
  </si>
  <si>
    <t>Pagination, sorting, filters (destinationId, categoryId, minPrice, maxPrice, minRating, duration, language, date, freeCancellation, instantConfirmation, sortBy, page, size)</t>
  </si>
  <si>
    <t>/activities/{id}</t>
  </si>
  <si>
    <t>Full details</t>
  </si>
  <si>
    <t>/activities/slug/{slug}</t>
  </si>
  <si>
    <t>SEO-friendly lookup</t>
  </si>
  <si>
    <t>/activities/search?q=</t>
  </si>
  <si>
    <t>Keyword search</t>
  </si>
  <si>
    <t>/activities/featured</t>
  </si>
  <si>
    <t>Homepage</t>
  </si>
  <si>
    <t>/activities/{id}/similar</t>
  </si>
  <si>
    <t>Recommendations</t>
  </si>
  <si>
    <t>/activities/{id}/availability?from=&amp;to=</t>
  </si>
  <si>
    <t>Calendar view</t>
  </si>
  <si>
    <t>/activities/{id}/time-slots?date=</t>
  </si>
  <si>
    <t>Slots for one day</t>
  </si>
  <si>
    <t>/activities/{id}/pricing?date=&amp;participants=</t>
  </si>
  <si>
    <t>Price quote</t>
  </si>
  <si>
    <t>/activities/{id}/reviews</t>
  </si>
  <si>
    <t>Paged reviews</t>
  </si>
  <si>
    <t>Cart</t>
  </si>
  <si>
    <t>/cart</t>
  </si>
  <si>
    <t>View cart</t>
  </si>
  <si>
    <t>/cart/items</t>
  </si>
  <si>
    <t>Add item</t>
  </si>
  <si>
    <t>/cart/items/{itemId}</t>
  </si>
  <si>
    <t>Update item</t>
  </si>
  <si>
    <t>Remove item</t>
  </si>
  <si>
    <t>Clear cart</t>
  </si>
  <si>
    <t>/cart/apply-coupon</t>
  </si>
  <si>
    <t>Apply coupon</t>
  </si>
  <si>
    <t>/cart/coupon</t>
  </si>
  <si>
    <t>Remove coupon</t>
  </si>
  <si>
    <t>Bookings</t>
  </si>
  <si>
    <t>/bookings</t>
  </si>
  <si>
    <t>Create booking (from cart or direct); status PENDING and temporary slot hold</t>
  </si>
  <si>
    <t>My bookings; filter by status or upcoming/past</t>
  </si>
  <si>
    <t>/bookings/{id}</t>
  </si>
  <si>
    <t>Details</t>
  </si>
  <si>
    <t>/bookings/reference/{bookingRef}</t>
  </si>
  <si>
    <t>Lookup by reference code</t>
  </si>
  <si>
    <t>/bookings/{id}/participants</t>
  </si>
  <si>
    <t>Edit traveller details</t>
  </si>
  <si>
    <t>/bookings/{id}/reschedule</t>
  </si>
  <si>
    <t>Move to another slot</t>
  </si>
  <si>
    <t>/bookings/{id}/cancel</t>
  </si>
  <si>
    <t>Cancel; calculates refund</t>
  </si>
  <si>
    <t>/bookings/{id}/voucher</t>
  </si>
  <si>
    <t>Ticket or voucher (PDF/QR)</t>
  </si>
  <si>
    <t>/bookings/{id}/cancellation-policy</t>
  </si>
  <si>
    <t>Refund preview before cancelling</t>
  </si>
  <si>
    <t>Payments</t>
  </si>
  <si>
    <t>/payments/initiate</t>
  </si>
  <si>
    <t>Start payment</t>
  </si>
  <si>
    <t>/payments/confirm</t>
  </si>
  <si>
    <t>Confirm payment</t>
  </si>
  <si>
    <t>/payments/webhook</t>
  </si>
  <si>
    <t>Simulated gateway callback (practise idempotency)</t>
  </si>
  <si>
    <t>/payments/{id}</t>
  </si>
  <si>
    <t>Payment details</t>
  </si>
  <si>
    <t>/bookings/{id}/payments</t>
  </si>
  <si>
    <t>Payments for a booking</t>
  </si>
  <si>
    <t>/payments/{id}/refunds</t>
  </si>
  <si>
    <t>Refunds for a payment</t>
  </si>
  <si>
    <t>Reviews</t>
  </si>
  <si>
    <t>Only if user has a COMPLETED booking</t>
  </si>
  <si>
    <t>/reviews/{id}</t>
  </si>
  <si>
    <t>Own review only</t>
  </si>
  <si>
    <t>Own review or admin</t>
  </si>
  <si>
    <t>/reviews/{id}/helpful</t>
  </si>
  <si>
    <t>Vote helpful</t>
  </si>
  <si>
    <t>/reviews/{id}/report</t>
  </si>
  <si>
    <t>Flag abuse</t>
  </si>
  <si>
    <t>/users/me/reviews</t>
  </si>
  <si>
    <t>My reviews</t>
  </si>
  <si>
    <t>Wishlist</t>
  </si>
  <si>
    <t>/wishlist</t>
  </si>
  <si>
    <t>My wishlist</t>
  </si>
  <si>
    <t>/wishlist/{activityId}</t>
  </si>
  <si>
    <t>Add</t>
  </si>
  <si>
    <t>Remove</t>
  </si>
  <si>
    <t>Notifications</t>
  </si>
  <si>
    <t>/notifications</t>
  </si>
  <si>
    <t>List notifications</t>
  </si>
  <si>
    <t>/notifications/{id}/read</t>
  </si>
  <si>
    <t>Mark one read</t>
  </si>
  <si>
    <t>/notifications/read-all</t>
  </si>
  <si>
    <t>Mark all read</t>
  </si>
  <si>
    <t>/users/me/notification-preferences</t>
  </si>
  <si>
    <t>Get preferences</t>
  </si>
  <si>
    <t>Update preferences</t>
  </si>
  <si>
    <t>Profile</t>
  </si>
  <si>
    <t>/supplier/register</t>
  </si>
  <si>
    <t>Apply to become a supplier</t>
  </si>
  <si>
    <t>/supplier/profile</t>
  </si>
  <si>
    <t>View company profile</t>
  </si>
  <si>
    <t>Update company profile</t>
  </si>
  <si>
    <t>Activities</t>
  </si>
  <si>
    <t>/supplier/activities</t>
  </si>
  <si>
    <t>Create activity (status DRAFT)</t>
  </si>
  <si>
    <t>/supplier/activities/{id}</t>
  </si>
  <si>
    <t>Update</t>
  </si>
  <si>
    <t>/supplier/activities/{id}/status</t>
  </si>
  <si>
    <t>DRAFT -&gt; SUBMITTED, PAUSED, ACTIVE</t>
  </si>
  <si>
    <t>Soft delete</t>
  </si>
  <si>
    <t>My activities</t>
  </si>
  <si>
    <t>/supplier/activities/{id}/media</t>
  </si>
  <si>
    <t>Upload images</t>
  </si>
  <si>
    <t>/supplier/activities/{id}/media/{mediaId}</t>
  </si>
  <si>
    <t>Remove image</t>
  </si>
  <si>
    <t>Time slots &amp; availability</t>
  </si>
  <si>
    <t>/supplier/activities/{id}/time-slots</t>
  </si>
  <si>
    <t>Create slot</t>
  </si>
  <si>
    <t>/supplier/activities/{id}/time-slots/bulk</t>
  </si>
  <si>
    <t>Recurring slots (e.g. every Mon-Fri 10:00)</t>
  </si>
  <si>
    <t>/supplier/time-slots/{id}</t>
  </si>
  <si>
    <t>Change capacity or price</t>
  </si>
  <si>
    <t>Remove slot</t>
  </si>
  <si>
    <t>/supplier/activities/{id}/block-dates</t>
  </si>
  <si>
    <t>Block holidays</t>
  </si>
  <si>
    <t>/supplier/bookings</t>
  </si>
  <si>
    <t>Bookings for my activities</t>
  </si>
  <si>
    <t>/supplier/bookings/{id}</t>
  </si>
  <si>
    <t>/supplier/bookings/{id}/confirm</t>
  </si>
  <si>
    <t>For manual-confirmation activities</t>
  </si>
  <si>
    <t>/supplier/bookings/{id}/reject</t>
  </si>
  <si>
    <t>Reject with reason</t>
  </si>
  <si>
    <t>/supplier/bookings/{id}/check-in</t>
  </si>
  <si>
    <t>Mark attended</t>
  </si>
  <si>
    <t>/supplier/bookings/{id}/complete</t>
  </si>
  <si>
    <t>Mark completed</t>
  </si>
  <si>
    <t>Reports &amp; Payouts</t>
  </si>
  <si>
    <t>/supplier/reports/revenue</t>
  </si>
  <si>
    <t>Revenue by date range</t>
  </si>
  <si>
    <t>/supplier/reports/bookings</t>
  </si>
  <si>
    <t>Booking counts by status</t>
  </si>
  <si>
    <t>/supplier/dashboard/stats</t>
  </si>
  <si>
    <t>Summary</t>
  </si>
  <si>
    <t>/supplier/reviews/{id}/reply</t>
  </si>
  <si>
    <t>Reply to a review</t>
  </si>
  <si>
    <t>/supplier/payouts</t>
  </si>
  <si>
    <t>Earnings and payout history</t>
  </si>
  <si>
    <t>Users</t>
  </si>
  <si>
    <t>/admin/users</t>
  </si>
  <si>
    <t>List users</t>
  </si>
  <si>
    <t>/admin/users/{id}/status</t>
  </si>
  <si>
    <t>Block / unblock</t>
  </si>
  <si>
    <t>/admin/users/{id}/role</t>
  </si>
  <si>
    <t>Change role</t>
  </si>
  <si>
    <t>Suppliers</t>
  </si>
  <si>
    <t>/admin/suppliers?status=PENDING</t>
  </si>
  <si>
    <t>Pending applications</t>
  </si>
  <si>
    <t>/admin/suppliers/{id}/approve</t>
  </si>
  <si>
    <t>Approve supplier</t>
  </si>
  <si>
    <t>/admin/suppliers/{id}/reject</t>
  </si>
  <si>
    <t>Reject supplier</t>
  </si>
  <si>
    <t>Activity moderation</t>
  </si>
  <si>
    <t>/admin/activities?status=SUBMITTED</t>
  </si>
  <si>
    <t>Activities awaiting review</t>
  </si>
  <si>
    <t>/admin/activities/{id}/approve</t>
  </si>
  <si>
    <t>Approve</t>
  </si>
  <si>
    <t>/admin/activities/{id}/reject</t>
  </si>
  <si>
    <t>Reject</t>
  </si>
  <si>
    <t>/admin/activities/{id}/feature</t>
  </si>
  <si>
    <t>Feature on homepage</t>
  </si>
  <si>
    <t>Categories</t>
  </si>
  <si>
    <t>/admin/categories</t>
  </si>
  <si>
    <t>List category</t>
  </si>
  <si>
    <t>/admin/categories/{id}</t>
  </si>
  <si>
    <t>Get one category</t>
  </si>
  <si>
    <t>Create category</t>
  </si>
  <si>
    <t>Update category</t>
  </si>
  <si>
    <t>Delete category</t>
  </si>
  <si>
    <t>Destinations</t>
  </si>
  <si>
    <t>/admin/destinations</t>
  </si>
  <si>
    <t>List destination</t>
  </si>
  <si>
    <t>/admin/destinations/{id}</t>
  </si>
  <si>
    <t>Get one destination</t>
  </si>
  <si>
    <t>Create destination</t>
  </si>
  <si>
    <t>Update destination</t>
  </si>
  <si>
    <t>Delete destination</t>
  </si>
  <si>
    <t>Tags</t>
  </si>
  <si>
    <t>/admin/tags</t>
  </si>
  <si>
    <t>List tag</t>
  </si>
  <si>
    <t>/admin/tags/{id}</t>
  </si>
  <si>
    <t>Get one tag</t>
  </si>
  <si>
    <t>Create tag</t>
  </si>
  <si>
    <t>Update tag</t>
  </si>
  <si>
    <t>Delete tag</t>
  </si>
  <si>
    <t>Coupons</t>
  </si>
  <si>
    <t>/admin/coupons</t>
  </si>
  <si>
    <t>List coupon</t>
  </si>
  <si>
    <t>/admin/coupons/{id}</t>
  </si>
  <si>
    <t>Get one coupon</t>
  </si>
  <si>
    <t>Create coupon</t>
  </si>
  <si>
    <t>Update coupon</t>
  </si>
  <si>
    <t>Delete coupon</t>
  </si>
  <si>
    <t>Bookings &amp; Payments</t>
  </si>
  <si>
    <t>/admin/bookings</t>
  </si>
  <si>
    <t>All bookings</t>
  </si>
  <si>
    <t>/admin/bookings/{id}/force-cancel</t>
  </si>
  <si>
    <t>Force cancel</t>
  </si>
  <si>
    <t>/admin/payments</t>
  </si>
  <si>
    <t>All payments</t>
  </si>
  <si>
    <t>/admin/payments/{id}/refund</t>
  </si>
  <si>
    <t>Issue refund</t>
  </si>
  <si>
    <t>/admin/reviews/reported</t>
  </si>
  <si>
    <t>Reported reviews</t>
  </si>
  <si>
    <t>/admin/reviews/{id}</t>
  </si>
  <si>
    <t>Remove review</t>
  </si>
  <si>
    <t>Reports &amp; Audit</t>
  </si>
  <si>
    <t>/admin/reports/revenue</t>
  </si>
  <si>
    <t>Revenue report</t>
  </si>
  <si>
    <t>/admin/reports/top-activities</t>
  </si>
  <si>
    <t>Top activities</t>
  </si>
  <si>
    <t>/admin/reports/user-growth</t>
  </si>
  <si>
    <t>User growth</t>
  </si>
  <si>
    <t>/admin/audit-logs</t>
  </si>
  <si>
    <t>Audit logs</t>
  </si>
  <si>
    <t>Entity (Java class)</t>
  </si>
  <si>
    <t>Table</t>
  </si>
  <si>
    <t>Description</t>
  </si>
  <si>
    <t>Field count</t>
  </si>
  <si>
    <t>User</t>
  </si>
  <si>
    <t>users</t>
  </si>
  <si>
    <t>Every account: customer, supplier or admin</t>
  </si>
  <si>
    <t>VerificationToken</t>
  </si>
  <si>
    <t>verification_tokens</t>
  </si>
  <si>
    <t>One-time tokens for email verification and password reset</t>
  </si>
  <si>
    <t>RefreshToken</t>
  </si>
  <si>
    <t>refresh_tokens</t>
  </si>
  <si>
    <t>JWT refresh tokens, revocable on logout</t>
  </si>
  <si>
    <t>SupplierProfile</t>
  </si>
  <si>
    <t>supplier_profiles</t>
  </si>
  <si>
    <t>Company or guide that offers activities (1:1 with a SUPPLIER user)</t>
  </si>
  <si>
    <t>Destination</t>
  </si>
  <si>
    <t>destinations</t>
  </si>
  <si>
    <t>Catalog</t>
  </si>
  <si>
    <t>City or region where activities take place</t>
  </si>
  <si>
    <t>Category</t>
  </si>
  <si>
    <t>categories</t>
  </si>
  <si>
    <t>Activity category (supports parent/child tree)</t>
  </si>
  <si>
    <t>Tag</t>
  </si>
  <si>
    <t>tags</t>
  </si>
  <si>
    <t>Free-form labels for activities</t>
  </si>
  <si>
    <t>Activity</t>
  </si>
  <si>
    <t>activities</t>
  </si>
  <si>
    <t>A tour or experience: the main product</t>
  </si>
  <si>
    <t>ActivityCategory</t>
  </si>
  <si>
    <t>activity_categories</t>
  </si>
  <si>
    <t>Join table Activity &lt;-&gt; Category (no entity class needed, use @ManyToMany)</t>
  </si>
  <si>
    <t>ActivityTag</t>
  </si>
  <si>
    <t>activity_tags</t>
  </si>
  <si>
    <t>Join table Activity &lt;-&gt; Tag (no entity class needed, use @ManyToMany)</t>
  </si>
  <si>
    <t>ActivityLanguage</t>
  </si>
  <si>
    <t>activity_languages</t>
  </si>
  <si>
    <t>Languages an activity is offered in (@ElementCollection)</t>
  </si>
  <si>
    <t>ActivityMedia</t>
  </si>
  <si>
    <t>activity_media</t>
  </si>
  <si>
    <t>Images and videos of an activity</t>
  </si>
  <si>
    <t>PricingTier</t>
  </si>
  <si>
    <t>pricing_tiers</t>
  </si>
  <si>
    <t>Price per participant type (adult, child, senior, group)</t>
  </si>
  <si>
    <t>TimeSlot</t>
  </si>
  <si>
    <t>time_slots</t>
  </si>
  <si>
    <t>Bookable date/time with capacity; the row you lock to prevent overbooking</t>
  </si>
  <si>
    <t>BlockedDate</t>
  </si>
  <si>
    <t>blocked_dates</t>
  </si>
  <si>
    <t>Dates a supplier blocks (holidays, maintenance)</t>
  </si>
  <si>
    <t>carts</t>
  </si>
  <si>
    <t>Booking</t>
  </si>
  <si>
    <t>A customer's basket (one active cart per user)</t>
  </si>
  <si>
    <t>CartItem</t>
  </si>
  <si>
    <t>cart_items</t>
  </si>
  <si>
    <t>One tier x quantity for one time slot</t>
  </si>
  <si>
    <t>bookings</t>
  </si>
  <si>
    <t>A customer's order for one supplier (checkout splits a cart per supplier)</t>
  </si>
  <si>
    <t>BookingItem</t>
  </si>
  <si>
    <t>booking_items</t>
  </si>
  <si>
    <t>Line of a booking: slot x tier x quantity with price snapshot</t>
  </si>
  <si>
    <t>Participant</t>
  </si>
  <si>
    <t>booking_participants</t>
  </si>
  <si>
    <t>Traveller details attached to a booking</t>
  </si>
  <si>
    <t>Coupon</t>
  </si>
  <si>
    <t>coupons</t>
  </si>
  <si>
    <t>Discount code</t>
  </si>
  <si>
    <t>CouponRedemption</t>
  </si>
  <si>
    <t>coupon_redemptions</t>
  </si>
  <si>
    <t>Which user used which coupon on which booking</t>
  </si>
  <si>
    <t>Payment</t>
  </si>
  <si>
    <t>payments</t>
  </si>
  <si>
    <t>Payment attempt for a booking (mock gateway first)</t>
  </si>
  <si>
    <t>PaymentWebhookEvent</t>
  </si>
  <si>
    <t>payment_webhook_events</t>
  </si>
  <si>
    <t>Processed gateway events; guarantees webhook idempotency</t>
  </si>
  <si>
    <t>Refund</t>
  </si>
  <si>
    <t>refunds</t>
  </si>
  <si>
    <t>Refund against a payment (full or partial)</t>
  </si>
  <si>
    <t>SupplierPayout</t>
  </si>
  <si>
    <t>supplier_payouts</t>
  </si>
  <si>
    <t>Earnings paid out to a supplier per period</t>
  </si>
  <si>
    <t>Review</t>
  </si>
  <si>
    <t>reviews</t>
  </si>
  <si>
    <t>Engagement</t>
  </si>
  <si>
    <t>Customer review, only after a COMPLETED booking</t>
  </si>
  <si>
    <t>ReviewHelpfulVote</t>
  </si>
  <si>
    <t>review_helpful_votes</t>
  </si>
  <si>
    <t>One 'helpful' vote per user per review</t>
  </si>
  <si>
    <t>ReviewReport</t>
  </si>
  <si>
    <t>review_reports</t>
  </si>
  <si>
    <t>User report of an abusive review</t>
  </si>
  <si>
    <t>WishlistItem</t>
  </si>
  <si>
    <t>wishlist_items</t>
  </si>
  <si>
    <t>Activity saved by a user</t>
  </si>
  <si>
    <t>Notification</t>
  </si>
  <si>
    <t>notifications</t>
  </si>
  <si>
    <t>In-app notification</t>
  </si>
  <si>
    <t>NotificationPreference</t>
  </si>
  <si>
    <t>notification_preferences</t>
  </si>
  <si>
    <t>Per-user notification settings</t>
  </si>
  <si>
    <t>AuditLog</t>
  </si>
  <si>
    <t>audit_logs</t>
  </si>
  <si>
    <t>Platform</t>
  </si>
  <si>
    <t>Who did what, for admin and sensitive actions</t>
  </si>
  <si>
    <t>Entity</t>
  </si>
  <si>
    <t>Java field</t>
  </si>
  <si>
    <t>DB column</t>
  </si>
  <si>
    <t>Java type</t>
  </si>
  <si>
    <t>PostgreSQL type</t>
  </si>
  <si>
    <t>Nullable</t>
  </si>
  <si>
    <t>Key</t>
  </si>
  <si>
    <t>References</t>
  </si>
  <si>
    <t>Default</t>
  </si>
  <si>
    <t>DB constraint</t>
  </si>
  <si>
    <t>Suggested validation</t>
  </si>
  <si>
    <t>Create DTO</t>
  </si>
  <si>
    <t>Update DTO</t>
  </si>
  <si>
    <t>Response DTO</t>
  </si>
  <si>
    <t>Notes</t>
  </si>
  <si>
    <t>id</t>
  </si>
  <si>
    <t>Long</t>
  </si>
  <si>
    <t>BIGINT</t>
  </si>
  <si>
    <t>N</t>
  </si>
  <si>
    <t>PK</t>
  </si>
  <si>
    <t>GENERATED BY DEFAULT AS IDENTITY</t>
  </si>
  <si>
    <t>Y</t>
  </si>
  <si>
    <t>BIGSERIAL / @GeneratedValue(IDENTITY)</t>
  </si>
  <si>
    <t>email</t>
  </si>
  <si>
    <t>String</t>
  </si>
  <si>
    <t>VARCHAR(255)</t>
  </si>
  <si>
    <t>UK</t>
  </si>
  <si>
    <t>@NotBlank @Email @Size(max=255)</t>
  </si>
  <si>
    <t>Store lower-case; immutable after registration (not in update DTO)</t>
  </si>
  <si>
    <t>passwordHash</t>
  </si>
  <si>
    <t>password_hash</t>
  </si>
  <si>
    <t>Validate the raw password on RegisterRequest: @Size(min=8,max=64) + @Pattern complexity</t>
  </si>
  <si>
    <t>BCrypt hash. Never exposed in any response DTO</t>
  </si>
  <si>
    <t>firstName</t>
  </si>
  <si>
    <t>first_name</t>
  </si>
  <si>
    <t>VARCHAR(100)</t>
  </si>
  <si>
    <t>@NotBlank @Size(max=100)</t>
  </si>
  <si>
    <t>lastName</t>
  </si>
  <si>
    <t>last_name</t>
  </si>
  <si>
    <t>phoneNumber</t>
  </si>
  <si>
    <t>phone_number</t>
  </si>
  <si>
    <t>VARCHAR(20)</t>
  </si>
  <si>
    <t>@Pattern(regexp=\"^\\+[1-9]\\d{6,14}$\") (E.164)</t>
  </si>
  <si>
    <t>dateOfBirth</t>
  </si>
  <si>
    <t>date_of_birth</t>
  </si>
  <si>
    <t>LocalDate</t>
  </si>
  <si>
    <t>DATE</t>
  </si>
  <si>
    <t>@Past</t>
  </si>
  <si>
    <t>role</t>
  </si>
  <si>
    <t>Role</t>
  </si>
  <si>
    <t>VARCHAR(30)</t>
  </si>
  <si>
    <t>'CUSTOMER'</t>
  </si>
  <si>
    <t>Changed only via PATCH /admin/users/{id}/role</t>
  </si>
  <si>
    <t>status</t>
  </si>
  <si>
    <t>UserStatus</t>
  </si>
  <si>
    <t>'PENDING_VERIFICATION'</t>
  </si>
  <si>
    <t>Changed by email verification, admin block/unblock, account delete</t>
  </si>
  <si>
    <t>emailVerified</t>
  </si>
  <si>
    <t>email_verified</t>
  </si>
  <si>
    <t>Boolean</t>
  </si>
  <si>
    <t>BOOLEAN</t>
  </si>
  <si>
    <t>false</t>
  </si>
  <si>
    <t>preferredLanguage</t>
  </si>
  <si>
    <t>preferred_language</t>
  </si>
  <si>
    <t>VARCHAR(5)</t>
  </si>
  <si>
    <t>'en'</t>
  </si>
  <si>
    <t>@Pattern(regexp=\"^[a-z]{2}(-[A-Z]{2})?$\")</t>
  </si>
  <si>
    <t>preferredCurrency</t>
  </si>
  <si>
    <t>preferred_currency</t>
  </si>
  <si>
    <t>VARCHAR(3)</t>
  </si>
  <si>
    <t>'EUR'</t>
  </si>
  <si>
    <t>@Pattern(regexp=\"^[A-Z]{3}$\")</t>
  </si>
  <si>
    <t>profileImageUrl</t>
  </si>
  <si>
    <t>profile_image_url</t>
  </si>
  <si>
    <t>VARCHAR(500)</t>
  </si>
  <si>
    <t>@URL @Size(max=500)</t>
  </si>
  <si>
    <t>lastLoginAt</t>
  </si>
  <si>
    <t>last_login_at</t>
  </si>
  <si>
    <t>Instant</t>
  </si>
  <si>
    <t>TIMESTAMPTZ</t>
  </si>
  <si>
    <t>createdAt</t>
  </si>
  <si>
    <t>created_at</t>
  </si>
  <si>
    <t>now()</t>
  </si>
  <si>
    <t>Set by auditing, never from client</t>
  </si>
  <si>
    <t>@CreatedDate</t>
  </si>
  <si>
    <t>updatedAt</t>
  </si>
  <si>
    <t>updated_at</t>
  </si>
  <si>
    <t>@LastModifiedDate</t>
  </si>
  <si>
    <t>user</t>
  </si>
  <si>
    <t>user_id</t>
  </si>
  <si>
    <t>FK</t>
  </si>
  <si>
    <t>users.id</t>
  </si>
  <si>
    <t>tokenHash</t>
  </si>
  <si>
    <t>token_hash</t>
  </si>
  <si>
    <t>Store a hash, send the raw token by email</t>
  </si>
  <si>
    <t>type</t>
  </si>
  <si>
    <t>TokenType</t>
  </si>
  <si>
    <t>expiresAt</t>
  </si>
  <si>
    <t>expires_at</t>
  </si>
  <si>
    <t>usedAt</t>
  </si>
  <si>
    <t>used_at</t>
  </si>
  <si>
    <t>revoked</t>
  </si>
  <si>
    <t>deviceInfo</t>
  </si>
  <si>
    <t>device_info</t>
  </si>
  <si>
    <t>VARCHAR(300)</t>
  </si>
  <si>
    <t>User-Agent / device label</t>
  </si>
  <si>
    <t>FK,UK</t>
  </si>
  <si>
    <t>Taken from the authenticated user on /supplier/register</t>
  </si>
  <si>
    <t>companyName</t>
  </si>
  <si>
    <t>company_name</t>
  </si>
  <si>
    <t>VARCHAR(200)</t>
  </si>
  <si>
    <t>@NotBlank @Size(max=200)</t>
  </si>
  <si>
    <t>description</t>
  </si>
  <si>
    <t>TEXT</t>
  </si>
  <si>
    <t>@Size(max=4000)</t>
  </si>
  <si>
    <t>contactEmail</t>
  </si>
  <si>
    <t>contact_email</t>
  </si>
  <si>
    <t>@NotBlank @Email</t>
  </si>
  <si>
    <t>contactPhone</t>
  </si>
  <si>
    <t>contact_phone</t>
  </si>
  <si>
    <t>@Pattern (E.164)</t>
  </si>
  <si>
    <t>website</t>
  </si>
  <si>
    <t>@URL</t>
  </si>
  <si>
    <t>taxId</t>
  </si>
  <si>
    <t>tax_id</t>
  </si>
  <si>
    <t>VARCHAR(50)</t>
  </si>
  <si>
    <t>@Size(max=50)</t>
  </si>
  <si>
    <t>VAT / tax number</t>
  </si>
  <si>
    <t>addressLine</t>
  </si>
  <si>
    <t>address_line</t>
  </si>
  <si>
    <t>city</t>
  </si>
  <si>
    <t>postalCode</t>
  </si>
  <si>
    <t>postal_code</t>
  </si>
  <si>
    <t>countryCode</t>
  </si>
  <si>
    <t>country_code</t>
  </si>
  <si>
    <t>VARCHAR(2)</t>
  </si>
  <si>
    <t>@NotBlank @Pattern(regexp=\"^[A-Z]{2}$\")</t>
  </si>
  <si>
    <t>ISO 3166-1 alpha-2</t>
  </si>
  <si>
    <t>logoUrl</t>
  </si>
  <si>
    <t>logo_url</t>
  </si>
  <si>
    <t>SupplierStatus</t>
  </si>
  <si>
    <t>'PENDING'</t>
  </si>
  <si>
    <t>Changed via /admin/suppliers/{id}/approve|reject</t>
  </si>
  <si>
    <t>rejectionReason</t>
  </si>
  <si>
    <t>rejection_reason</t>
  </si>
  <si>
    <t>commissionRate</t>
  </si>
  <si>
    <t>commission_rate</t>
  </si>
  <si>
    <t>BigDecimal</t>
  </si>
  <si>
    <t>NUMERIC(5,2)</t>
  </si>
  <si>
    <t>15.00</t>
  </si>
  <si>
    <t>CHECK (commission_rate BETWEEN 0 AND 100)</t>
  </si>
  <si>
    <t>Percentage the platform keeps; set by admin</t>
  </si>
  <si>
    <t>approvedAt</t>
  </si>
  <si>
    <t>approved_at</t>
  </si>
  <si>
    <t>name</t>
  </si>
  <si>
    <t>VARCHAR(150)</t>
  </si>
  <si>
    <t>@NotBlank @Size(max=150)</t>
  </si>
  <si>
    <t>slug</t>
  </si>
  <si>
    <t>VARCHAR(180)</t>
  </si>
  <si>
    <t>Generated from name</t>
  </si>
  <si>
    <t>country</t>
  </si>
  <si>
    <t>@NotBlank</t>
  </si>
  <si>
    <t>timezone</t>
  </si>
  <si>
    <t>@NotBlank + custom check ZoneId.of()</t>
  </si>
  <si>
    <t>e.g. Europe/Paris, used for slot times</t>
  </si>
  <si>
    <t>latitude</t>
  </si>
  <si>
    <t>NUMERIC(9,6)</t>
  </si>
  <si>
    <t>@DecimalMin(-90) @DecimalMax(90)</t>
  </si>
  <si>
    <t>longitude</t>
  </si>
  <si>
    <t>@DecimalMin(-180) @DecimalMax(180)</t>
  </si>
  <si>
    <t>imageUrl</t>
  </si>
  <si>
    <t>image_url</t>
  </si>
  <si>
    <t>popular</t>
  </si>
  <si>
    <t>active</t>
  </si>
  <si>
    <t>true</t>
  </si>
  <si>
    <t>VARCHAR(120)</t>
  </si>
  <si>
    <t>iconUrl</t>
  </si>
  <si>
    <t>icon_url</t>
  </si>
  <si>
    <t>parent</t>
  </si>
  <si>
    <t>parent_id</t>
  </si>
  <si>
    <t>categories.id</t>
  </si>
  <si>
    <t>Self reference; DTO exposes parentId</t>
  </si>
  <si>
    <t>displayOrder</t>
  </si>
  <si>
    <t>display_order</t>
  </si>
  <si>
    <t>Integer</t>
  </si>
  <si>
    <t>INTEGER</t>
  </si>
  <si>
    <t>0</t>
  </si>
  <si>
    <t>@NotBlank @Size(max=50)</t>
  </si>
  <si>
    <t>VARCHAR(60)</t>
  </si>
  <si>
    <t>supplier</t>
  </si>
  <si>
    <t>supplier_id</t>
  </si>
  <si>
    <t>supplier_profiles.id</t>
  </si>
  <si>
    <t>Taken from authenticated supplier</t>
  </si>
  <si>
    <t>destination</t>
  </si>
  <si>
    <t>destination_id</t>
  </si>
  <si>
    <t>destinations.id</t>
  </si>
  <si>
    <t>DTO exposes destinationId</t>
  </si>
  <si>
    <t>title</t>
  </si>
  <si>
    <t>@NotBlank @Size(min=5,max=200)</t>
  </si>
  <si>
    <t>VARCHAR(220)</t>
  </si>
  <si>
    <t>Generated from title, made unique with suffix</t>
  </si>
  <si>
    <t>shortDescription</t>
  </si>
  <si>
    <t>short_description</t>
  </si>
  <si>
    <t>@NotBlank @Size(max=500)</t>
  </si>
  <si>
    <t>@NotBlank @Size(max=10000)</t>
  </si>
  <si>
    <t>highlights</t>
  </si>
  <si>
    <t>Newline separated or JSON array</t>
  </si>
  <si>
    <t>included</t>
  </si>
  <si>
    <t>What is included</t>
  </si>
  <si>
    <t>notIncluded</t>
  </si>
  <si>
    <t>not_included</t>
  </si>
  <si>
    <t>importantInfo</t>
  </si>
  <si>
    <t>important_info</t>
  </si>
  <si>
    <t>meetingPoint</t>
  </si>
  <si>
    <t>meeting_point</t>
  </si>
  <si>
    <t>meetingLatitude</t>
  </si>
  <si>
    <t>meeting_latitude</t>
  </si>
  <si>
    <t>meetingLongitude</t>
  </si>
  <si>
    <t>meeting_longitude</t>
  </si>
  <si>
    <t>durationMinutes</t>
  </si>
  <si>
    <t>duration_minutes</t>
  </si>
  <si>
    <t>CHECK (duration_minutes &gt; 0)</t>
  </si>
  <si>
    <t>@NotNull @Positive</t>
  </si>
  <si>
    <t>minParticipants</t>
  </si>
  <si>
    <t>min_participants</t>
  </si>
  <si>
    <t>1</t>
  </si>
  <si>
    <t>CHECK (min_participants &gt;= 1)</t>
  </si>
  <si>
    <t>@Min(1)</t>
  </si>
  <si>
    <t>maxGroupSize</t>
  </si>
  <si>
    <t>max_group_size</t>
  </si>
  <si>
    <t>@Positive</t>
  </si>
  <si>
    <t>minAge</t>
  </si>
  <si>
    <t>min_age</t>
  </si>
  <si>
    <t>@PositiveOrZero</t>
  </si>
  <si>
    <t>basePrice</t>
  </si>
  <si>
    <t>base_price</t>
  </si>
  <si>
    <t>NUMERIC(10,2)</t>
  </si>
  <si>
    <t>CHECK (base_price &gt;= 0)</t>
  </si>
  <si>
    <t>@NotNull @PositiveOrZero @Digits(integer=8,fraction=2)</t>
  </si>
  <si>
    <t>'From' price shown in listings</t>
  </si>
  <si>
    <t>currency</t>
  </si>
  <si>
    <t>instantConfirmation</t>
  </si>
  <si>
    <t>instant_confirmation</t>
  </si>
  <si>
    <t>false = supplier must confirm each booking</t>
  </si>
  <si>
    <t>freeCancellationHours</t>
  </si>
  <si>
    <t>free_cancellation_hours</t>
  </si>
  <si>
    <t>Free cancel until N hours before start; null = not refundable</t>
  </si>
  <si>
    <t>ActivityStatus</t>
  </si>
  <si>
    <t>'DRAFT'</t>
  </si>
  <si>
    <t>Changed via supplier status / admin approve|reject endpoints</t>
  </si>
  <si>
    <t>featured</t>
  </si>
  <si>
    <t>Set by admin</t>
  </si>
  <si>
    <t>averageRating</t>
  </si>
  <si>
    <t>average_rating</t>
  </si>
  <si>
    <t>NUMERIC(3,2)</t>
  </si>
  <si>
    <t>CHECK (average_rating BETWEEN 0 AND 5)</t>
  </si>
  <si>
    <t>Denormalised; recomputed on review changes</t>
  </si>
  <si>
    <t>reviewCount</t>
  </si>
  <si>
    <t>review_count</t>
  </si>
  <si>
    <t>Denormalised</t>
  </si>
  <si>
    <t>bookingCount</t>
  </si>
  <si>
    <t>booking_count</t>
  </si>
  <si>
    <t>Denormalised; for popularity sorting</t>
  </si>
  <si>
    <t>deletedAt</t>
  </si>
  <si>
    <t>deleted_at</t>
  </si>
  <si>
    <t>Soft delete marker</t>
  </si>
  <si>
    <t>activity</t>
  </si>
  <si>
    <t>activity_id</t>
  </si>
  <si>
    <t>PK,FK</t>
  </si>
  <si>
    <t>activities.id</t>
  </si>
  <si>
    <t>category</t>
  </si>
  <si>
    <t>category_id</t>
  </si>
  <si>
    <t>tag</t>
  </si>
  <si>
    <t>tag_id</t>
  </si>
  <si>
    <t>tags.id</t>
  </si>
  <si>
    <t>languageCode</t>
  </si>
  <si>
    <t>language_code</t>
  </si>
  <si>
    <t>DTO exposes languageCodes:List&lt;String&gt;</t>
  </si>
  <si>
    <t>url</t>
  </si>
  <si>
    <t>@NotBlank @URL</t>
  </si>
  <si>
    <t>mediaType</t>
  </si>
  <si>
    <t>media_type</t>
  </si>
  <si>
    <t>MediaType</t>
  </si>
  <si>
    <t>'IMAGE'</t>
  </si>
  <si>
    <t>caption</t>
  </si>
  <si>
    <t>cover</t>
  </si>
  <si>
    <t>Only one cover per activity</t>
  </si>
  <si>
    <t>tierType</t>
  </si>
  <si>
    <t>tier_type</t>
  </si>
  <si>
    <t>PricingTierType</t>
  </si>
  <si>
    <t>maxAge</t>
  </si>
  <si>
    <t>max_age</t>
  </si>
  <si>
    <t>@PositiveOrZero (&gt;= minAge, class-level)</t>
  </si>
  <si>
    <t>price</t>
  </si>
  <si>
    <t>CHECK (price &gt;= 0)</t>
  </si>
  <si>
    <t>@NotNull @PositiveOrZero</t>
  </si>
  <si>
    <t>From path variable</t>
  </si>
  <si>
    <t>slotDate</t>
  </si>
  <si>
    <t>slot_date</t>
  </si>
  <si>
    <t>@NotNull @FutureOrPresent</t>
  </si>
  <si>
    <t>startTime</t>
  </si>
  <si>
    <t>start_time</t>
  </si>
  <si>
    <t>LocalTime</t>
  </si>
  <si>
    <t>TIME</t>
  </si>
  <si>
    <t>@NotNull</t>
  </si>
  <si>
    <t>Local time at the destination</t>
  </si>
  <si>
    <t>endTime</t>
  </si>
  <si>
    <t>end_time</t>
  </si>
  <si>
    <t>CHECK (end_time &gt; start_time)</t>
  </si>
  <si>
    <t>@NotNull + class-level check end &gt; start</t>
  </si>
  <si>
    <t>capacity</t>
  </si>
  <si>
    <t>CHECK (capacity &gt; 0)</t>
  </si>
  <si>
    <t>@NotNull @Min(1)</t>
  </si>
  <si>
    <t>bookedCount</t>
  </si>
  <si>
    <t>booked_count</t>
  </si>
  <si>
    <t>CHECK (booked_count &gt;= 0 AND booked_count &lt;= capacity)</t>
  </si>
  <si>
    <t>Held + confirmed seats; only changed by booking logic under lock</t>
  </si>
  <si>
    <t>priceMultiplier</t>
  </si>
  <si>
    <t>price_multiplier</t>
  </si>
  <si>
    <t>NUMERIC(4,2)</t>
  </si>
  <si>
    <t>@DecimalMin("0.10") @DecimalMax("10.00")</t>
  </si>
  <si>
    <t>e.g. 1.25 for peak time; applied on tier prices</t>
  </si>
  <si>
    <t>cutoffMinutes</t>
  </si>
  <si>
    <t>cutoff_minutes</t>
  </si>
  <si>
    <t>60</t>
  </si>
  <si>
    <t>Booking closes N minutes before start</t>
  </si>
  <si>
    <t>SlotStatus</t>
  </si>
  <si>
    <t>'OPEN'</t>
  </si>
  <si>
    <t>Supplier can CLOSE/CANCEL; FULL is set automatically</t>
  </si>
  <si>
    <t>version</t>
  </si>
  <si>
    <t>@Version for optimistic locking</t>
  </si>
  <si>
    <t>blockedDate</t>
  </si>
  <si>
    <t>blocked_date</t>
  </si>
  <si>
    <t>reason</t>
  </si>
  <si>
    <t>coupon</t>
  </si>
  <si>
    <t>coupon_id</t>
  </si>
  <si>
    <t>coupons.id</t>
  </si>
  <si>
    <t>Set by POST /cart/apply-coupon</t>
  </si>
  <si>
    <t>cart</t>
  </si>
  <si>
    <t>cart_id</t>
  </si>
  <si>
    <t>carts.id</t>
  </si>
  <si>
    <t>timeSlot</t>
  </si>
  <si>
    <t>time_slot_id</t>
  </si>
  <si>
    <t>time_slots.id</t>
  </si>
  <si>
    <t>DTO exposes timeSlotId</t>
  </si>
  <si>
    <t>pricingTier</t>
  </si>
  <si>
    <t>pricing_tier_id</t>
  </si>
  <si>
    <t>pricing_tiers.id</t>
  </si>
  <si>
    <t>DTO exposes pricingTierId</t>
  </si>
  <si>
    <t>quantity</t>
  </si>
  <si>
    <t>CHECK (quantity &gt; 0)</t>
  </si>
  <si>
    <t>@NotNull @Min(1) @Max(50)</t>
  </si>
  <si>
    <t>unitPrice</t>
  </si>
  <si>
    <t>unit_price</t>
  </si>
  <si>
    <t>Snapshot at add time; re-validated at checkout</t>
  </si>
  <si>
    <t>bookingReference</t>
  </si>
  <si>
    <t>booking_reference</t>
  </si>
  <si>
    <t>Human friendly code, e.g. GYG-8F3K2Q</t>
  </si>
  <si>
    <t>Denormalised for /supplier/bookings queries</t>
  </si>
  <si>
    <t>BookingStatus</t>
  </si>
  <si>
    <t>Only change through the state machine; illegal transition = 409</t>
  </si>
  <si>
    <t>contactName</t>
  </si>
  <si>
    <t>contact_name</t>
  </si>
  <si>
    <t>specialRequests</t>
  </si>
  <si>
    <t>special_requests</t>
  </si>
  <si>
    <t>VARCHAR(1000)</t>
  </si>
  <si>
    <t>@Size(max=1000)</t>
  </si>
  <si>
    <t>subtotal</t>
  </si>
  <si>
    <t>NUMERIC(12,2)</t>
  </si>
  <si>
    <t>Calculated server-side</t>
  </si>
  <si>
    <t>discountAmount</t>
  </si>
  <si>
    <t>discount_amount</t>
  </si>
  <si>
    <t>totalAmount</t>
  </si>
  <si>
    <t>total_amount</t>
  </si>
  <si>
    <t>CHECK (total_amount &gt;= 0)</t>
  </si>
  <si>
    <t>Create DTO takes couponCode instead</t>
  </si>
  <si>
    <t>holdExpiresAt</t>
  </si>
  <si>
    <t>hold_expires_at</t>
  </si>
  <si>
    <t>Used by the expiry job (PENDING -&gt; EXPIRED)</t>
  </si>
  <si>
    <t>confirmedAt</t>
  </si>
  <si>
    <t>confirmed_at</t>
  </si>
  <si>
    <t>cancelledAt</t>
  </si>
  <si>
    <t>cancelled_at</t>
  </si>
  <si>
    <t>cancelledBy</t>
  </si>
  <si>
    <t>cancelled_by</t>
  </si>
  <si>
    <t>CancelledBy</t>
  </si>
  <si>
    <t>cancellationReason</t>
  </si>
  <si>
    <t>cancellation_reason</t>
  </si>
  <si>
    <t>idempotencyKey</t>
  </si>
  <si>
    <t>idempotency_key</t>
  </si>
  <si>
    <t>From the Idempotency-Key header, not the body</t>
  </si>
  <si>
    <t>@Version</t>
  </si>
  <si>
    <t>booking</t>
  </si>
  <si>
    <t>booking_id</t>
  </si>
  <si>
    <t>bookings.id</t>
  </si>
  <si>
    <t>activityTitle</t>
  </si>
  <si>
    <t>activity_title</t>
  </si>
  <si>
    <t>Snapshot, so history survives later edits</t>
  </si>
  <si>
    <t>tierName</t>
  </si>
  <si>
    <t>tier_name</t>
  </si>
  <si>
    <t>Snapshot</t>
  </si>
  <si>
    <t>lineTotal</t>
  </si>
  <si>
    <t>line_total</t>
  </si>
  <si>
    <t>unitPrice x quantity</t>
  </si>
  <si>
    <t>Which tier this traveller belongs to</t>
  </si>
  <si>
    <t>@Email</t>
  </si>
  <si>
    <t>nationality</t>
  </si>
  <si>
    <t>@Pattern(regexp=\"^[A-Z]{2}$\")</t>
  </si>
  <si>
    <t>specialNeeds</t>
  </si>
  <si>
    <t>special_needs</t>
  </si>
  <si>
    <t>@Size(max=300)</t>
  </si>
  <si>
    <t>leadTraveller</t>
  </si>
  <si>
    <t>lead_traveller</t>
  </si>
  <si>
    <t>code</t>
  </si>
  <si>
    <t>@NotBlank @Pattern(regexp=\"^[A-Z0-9_-]{4,30}$\")</t>
  </si>
  <si>
    <t>Immutable after creation</t>
  </si>
  <si>
    <t>discountType</t>
  </si>
  <si>
    <t>discount_type</t>
  </si>
  <si>
    <t>DiscountType</t>
  </si>
  <si>
    <t>discountValue</t>
  </si>
  <si>
    <t>discount_value</t>
  </si>
  <si>
    <t>CHECK (discount_value &gt; 0)</t>
  </si>
  <si>
    <t>@NotNull @Positive (&lt;= 100 if PERCENTAGE, class-level)</t>
  </si>
  <si>
    <t>maxDiscountAmount</t>
  </si>
  <si>
    <t>max_discount_amount</t>
  </si>
  <si>
    <t>Cap for percentage coupons</t>
  </si>
  <si>
    <t>minOrderAmount</t>
  </si>
  <si>
    <t>min_order_amount</t>
  </si>
  <si>
    <t>validFrom</t>
  </si>
  <si>
    <t>valid_from</t>
  </si>
  <si>
    <t>validUntil</t>
  </si>
  <si>
    <t>valid_until</t>
  </si>
  <si>
    <t>CHECK (valid_until &gt; valid_from)</t>
  </si>
  <si>
    <t>@NotNull @Future</t>
  </si>
  <si>
    <t>usageLimit</t>
  </si>
  <si>
    <t>usage_limit</t>
  </si>
  <si>
    <t>Total redemptions allowed; null = unlimited</t>
  </si>
  <si>
    <t>usedCount</t>
  </si>
  <si>
    <t>used_count</t>
  </si>
  <si>
    <t>perUserLimit</t>
  </si>
  <si>
    <t>per_user_limit</t>
  </si>
  <si>
    <t>redeemedAt</t>
  </si>
  <si>
    <t>redeemed_at</t>
  </si>
  <si>
    <t>paymentReference</t>
  </si>
  <si>
    <t>payment_reference</t>
  </si>
  <si>
    <t>Your own reference sent to the gateway</t>
  </si>
  <si>
    <t>provider</t>
  </si>
  <si>
    <t>'MOCK'</t>
  </si>
  <si>
    <t>MOCK, STRIPE, PAYPAL ...</t>
  </si>
  <si>
    <t>providerTransactionId</t>
  </si>
  <si>
    <t>provider_transaction_id</t>
  </si>
  <si>
    <t>method</t>
  </si>
  <si>
    <t>PaymentMethod</t>
  </si>
  <si>
    <t>Chosen in InitiatePaymentRequest</t>
  </si>
  <si>
    <t>PaymentStatus</t>
  </si>
  <si>
    <t>'INITIATED'</t>
  </si>
  <si>
    <t>amount</t>
  </si>
  <si>
    <t>CHECK (amount &gt; 0)</t>
  </si>
  <si>
    <t>Always taken from the booking, never from the client</t>
  </si>
  <si>
    <t>failureReason</t>
  </si>
  <si>
    <t>failure_reason</t>
  </si>
  <si>
    <t>From the Idempotency-Key header</t>
  </si>
  <si>
    <t>paidAt</t>
  </si>
  <si>
    <t>paid_at</t>
  </si>
  <si>
    <t>payment</t>
  </si>
  <si>
    <t>payment_id</t>
  </si>
  <si>
    <t>payments.id</t>
  </si>
  <si>
    <t>providerEventId</t>
  </si>
  <si>
    <t>provider_event_id</t>
  </si>
  <si>
    <t>Duplicate event id = ignore</t>
  </si>
  <si>
    <t>eventType</t>
  </si>
  <si>
    <t>event_type</t>
  </si>
  <si>
    <t>payload</t>
  </si>
  <si>
    <t>Raw JSON body for audit/debugging</t>
  </si>
  <si>
    <t>processed</t>
  </si>
  <si>
    <t>processedAt</t>
  </si>
  <si>
    <t>processed_at</t>
  </si>
  <si>
    <t>Admin refund DTO takes amount; must be &lt;= refundable balance</t>
  </si>
  <si>
    <t>RefundStatus</t>
  </si>
  <si>
    <t>providerRefundId</t>
  </si>
  <si>
    <t>provider_refund_id</t>
  </si>
  <si>
    <t>initiatedBy</t>
  </si>
  <si>
    <t>initiated_by_id</t>
  </si>
  <si>
    <t>Null when triggered by the system on cancel</t>
  </si>
  <si>
    <t>periodStart</t>
  </si>
  <si>
    <t>period_start</t>
  </si>
  <si>
    <t>periodEnd</t>
  </si>
  <si>
    <t>period_end</t>
  </si>
  <si>
    <t>grossAmount</t>
  </si>
  <si>
    <t>gross_amount</t>
  </si>
  <si>
    <t>commissionAmount</t>
  </si>
  <si>
    <t>commission_amount</t>
  </si>
  <si>
    <t>netAmount</t>
  </si>
  <si>
    <t>net_amount</t>
  </si>
  <si>
    <t>CHECK (net_amount = gross_amount - commission_amount)</t>
  </si>
  <si>
    <t>PayoutStatus</t>
  </si>
  <si>
    <t>reference</t>
  </si>
  <si>
    <t>Bank transfer reference</t>
  </si>
  <si>
    <t>One review per booking; must be COMPLETED and owned by caller</t>
  </si>
  <si>
    <t>rating</t>
  </si>
  <si>
    <t>CHECK (rating BETWEEN 1 AND 5)</t>
  </si>
  <si>
    <t>@NotNull @Min(1) @Max(5)</t>
  </si>
  <si>
    <t>@Size(max=150)</t>
  </si>
  <si>
    <t>comment</t>
  </si>
  <si>
    <t>@NotBlank @Size(max=2000)</t>
  </si>
  <si>
    <t>helpfulCount</t>
  </si>
  <si>
    <t>helpful_count</t>
  </si>
  <si>
    <t>ReviewStatus</t>
  </si>
  <si>
    <t>'PUBLISHED'</t>
  </si>
  <si>
    <t>supplierReply</t>
  </si>
  <si>
    <t>supplier_reply</t>
  </si>
  <si>
    <t>Set via POST /supplier/reviews/{id}/reply</t>
  </si>
  <si>
    <t>supplierRepliedAt</t>
  </si>
  <si>
    <t>supplier_replied_at</t>
  </si>
  <si>
    <t>review</t>
  </si>
  <si>
    <t>review_id</t>
  </si>
  <si>
    <t>reviews.id</t>
  </si>
  <si>
    <t>reporter</t>
  </si>
  <si>
    <t>reporter_id</t>
  </si>
  <si>
    <t>ReportReason</t>
  </si>
  <si>
    <t>details</t>
  </si>
  <si>
    <t>@Size(max=500)</t>
  </si>
  <si>
    <t>ReportStatus</t>
  </si>
  <si>
    <t>resolvedBy</t>
  </si>
  <si>
    <t>resolved_by_id</t>
  </si>
  <si>
    <t>resolvedAt</t>
  </si>
  <si>
    <t>resolved_at</t>
  </si>
  <si>
    <t>NotificationType</t>
  </si>
  <si>
    <t>message</t>
  </si>
  <si>
    <t>referenceType</t>
  </si>
  <si>
    <t>reference_type</t>
  </si>
  <si>
    <t>e.g. BOOKING, REVIEW</t>
  </si>
  <si>
    <t>referenceId</t>
  </si>
  <si>
    <t>reference_id</t>
  </si>
  <si>
    <t>read</t>
  </si>
  <si>
    <t>is_read</t>
  </si>
  <si>
    <t>'read' is a reserved word in some tooling; use is_read</t>
  </si>
  <si>
    <t>readAt</t>
  </si>
  <si>
    <t>read_at</t>
  </si>
  <si>
    <t>inAppEnabled</t>
  </si>
  <si>
    <t>in_app_enabled</t>
  </si>
  <si>
    <t>emailBookingUpdates</t>
  </si>
  <si>
    <t>email_booking_updates</t>
  </si>
  <si>
    <t>emailPromotions</t>
  </si>
  <si>
    <t>email_promotions</t>
  </si>
  <si>
    <t>pushEnabled</t>
  </si>
  <si>
    <t>push_enabled</t>
  </si>
  <si>
    <t>actor</t>
  </si>
  <si>
    <t>actor_id</t>
  </si>
  <si>
    <t>Null for system actions</t>
  </si>
  <si>
    <t>action</t>
  </si>
  <si>
    <t>e.g. BOOKING_FORCE_CANCELLED</t>
  </si>
  <si>
    <t>entityType</t>
  </si>
  <si>
    <t>entity_type</t>
  </si>
  <si>
    <t>entityId</t>
  </si>
  <si>
    <t>entity_id</t>
  </si>
  <si>
    <t>oldValue</t>
  </si>
  <si>
    <t>old_value</t>
  </si>
  <si>
    <t>JSON snapshot</t>
  </si>
  <si>
    <t>newValue</t>
  </si>
  <si>
    <t>new_value</t>
  </si>
  <si>
    <t>ipAddress</t>
  </si>
  <si>
    <t>ip_address</t>
  </si>
  <si>
    <t>VARCHAR(45)</t>
  </si>
  <si>
    <t>userAgent</t>
  </si>
  <si>
    <t>user_agent</t>
  </si>
  <si>
    <t>From entity</t>
  </si>
  <si>
    <t>Cardinality</t>
  </si>
  <si>
    <t>To entity</t>
  </si>
  <si>
    <t>FK column / join table</t>
  </si>
  <si>
    <t>Owning side</t>
  </si>
  <si>
    <t>JPA notes</t>
  </si>
  <si>
    <t>1 : 1</t>
  </si>
  <si>
    <t>supplier_profiles.user_id</t>
  </si>
  <si>
    <t>Only for role SUPPLIER</t>
  </si>
  <si>
    <t>1 : N</t>
  </si>
  <si>
    <t>verification_tokens.user_id</t>
  </si>
  <si>
    <t>Delete tokens with the user</t>
  </si>
  <si>
    <t>refresh_tokens.user_id</t>
  </si>
  <si>
    <t>carts.user_id</t>
  </si>
  <si>
    <t>Create lazily on first add-to-cart</t>
  </si>
  <si>
    <t>bookings.user_id</t>
  </si>
  <si>
    <t>Never cascade delete</t>
  </si>
  <si>
    <t>reviews.user_id</t>
  </si>
  <si>
    <t>wishlist_items.user_id</t>
  </si>
  <si>
    <t>notifications.user_id</t>
  </si>
  <si>
    <t>notification_preferences.user_id</t>
  </si>
  <si>
    <t>Create on registration</t>
  </si>
  <si>
    <t>audit_logs.actor_id</t>
  </si>
  <si>
    <t>Optional actor</t>
  </si>
  <si>
    <t>activities.supplier_id</t>
  </si>
  <si>
    <t>bookings.supplier_id</t>
  </si>
  <si>
    <t>Denormalised for supplier queries</t>
  </si>
  <si>
    <t>supplier_payouts.supplier_id</t>
  </si>
  <si>
    <t>activities.destination_id</t>
  </si>
  <si>
    <t>categories.parent_id</t>
  </si>
  <si>
    <t>Category (child)</t>
  </si>
  <si>
    <t>Self reference for category tree</t>
  </si>
  <si>
    <t>N : N</t>
  </si>
  <si>
    <t>@ManyToMany + @JoinTable</t>
  </si>
  <si>
    <t>activity_languages.activity_id</t>
  </si>
  <si>
    <t>@ElementCollection of language codes</t>
  </si>
  <si>
    <t>activity_media.activity_id</t>
  </si>
  <si>
    <t>cascade ALL + orphanRemoval</t>
  </si>
  <si>
    <t>pricing_tiers.activity_id</t>
  </si>
  <si>
    <t>cascade ALL</t>
  </si>
  <si>
    <t>time_slots.activity_id</t>
  </si>
  <si>
    <t>Do not cascade delete; slots may have bookings</t>
  </si>
  <si>
    <t>blocked_dates.activity_id</t>
  </si>
  <si>
    <t>reviews.activity_id</t>
  </si>
  <si>
    <t>wishlist_items.activity_id</t>
  </si>
  <si>
    <t>cart_items.cart_id</t>
  </si>
  <si>
    <t>N : 1</t>
  </si>
  <si>
    <t>cart_items.time_slot_id</t>
  </si>
  <si>
    <t>LAZY</t>
  </si>
  <si>
    <t>cart_items.pricing_tier_id</t>
  </si>
  <si>
    <t>carts.coupon_id</t>
  </si>
  <si>
    <t>Optional</t>
  </si>
  <si>
    <t>booking_items.booking_id</t>
  </si>
  <si>
    <t>booking_participants.booking_id</t>
  </si>
  <si>
    <t>payments.booking_id</t>
  </si>
  <si>
    <t>Several attempts possible</t>
  </si>
  <si>
    <t>1 : 0..1</t>
  </si>
  <si>
    <t>reviews.booking_id</t>
  </si>
  <si>
    <t>One review per booking</t>
  </si>
  <si>
    <t>bookings.coupon_id</t>
  </si>
  <si>
    <t>booking_items.time_slot_id</t>
  </si>
  <si>
    <t>The row you lock when booking</t>
  </si>
  <si>
    <t>booking_items.pricing_tier_id</t>
  </si>
  <si>
    <t>booking_items.activity_id</t>
  </si>
  <si>
    <t>booking_participants.pricing_tier_id</t>
  </si>
  <si>
    <t>refunds.payment_id</t>
  </si>
  <si>
    <t>payment_webhook_events.payment_id</t>
  </si>
  <si>
    <t>refunds.booking_id</t>
  </si>
  <si>
    <t>review_helpful_votes.review_id</t>
  </si>
  <si>
    <t>review_reports.review_id</t>
  </si>
  <si>
    <t>coupon_redemptions.coupon_id</t>
  </si>
  <si>
    <t>coupon_redemptions.booking_id</t>
  </si>
  <si>
    <t>Enum</t>
  </si>
  <si>
    <t>Value</t>
  </si>
  <si>
    <t>Used by (Entity.field)</t>
  </si>
  <si>
    <t>CUSTOMER</t>
  </si>
  <si>
    <t>User.role</t>
  </si>
  <si>
    <t>SUPPLIER</t>
  </si>
  <si>
    <t>ADMIN</t>
  </si>
  <si>
    <t>PENDING_VERIFICATION</t>
  </si>
  <si>
    <t>User.status</t>
  </si>
  <si>
    <t>ACTIVE</t>
  </si>
  <si>
    <t>BLOCKED</t>
  </si>
  <si>
    <t>DELETED</t>
  </si>
  <si>
    <t>EMAIL_VERIFICATION</t>
  </si>
  <si>
    <t>VerificationToken.type</t>
  </si>
  <si>
    <t>PASSWORD_RESET</t>
  </si>
  <si>
    <t>PENDING</t>
  </si>
  <si>
    <t>SupplierProfile.status</t>
  </si>
  <si>
    <t>APPROVED</t>
  </si>
  <si>
    <t>REJECTED</t>
  </si>
  <si>
    <t>SUSPENDED</t>
  </si>
  <si>
    <t>DRAFT</t>
  </si>
  <si>
    <t>Activity.status</t>
  </si>
  <si>
    <t>SUBMITTED</t>
  </si>
  <si>
    <t>PAUSED</t>
  </si>
  <si>
    <t>IMAGE</t>
  </si>
  <si>
    <t>ActivityMedia.mediaType</t>
  </si>
  <si>
    <t>VIDEO</t>
  </si>
  <si>
    <t>ADULT</t>
  </si>
  <si>
    <t>PricingTier.tierType</t>
  </si>
  <si>
    <t>CHILD</t>
  </si>
  <si>
    <t>SENIOR</t>
  </si>
  <si>
    <t>STUDENT</t>
  </si>
  <si>
    <t>GROUP</t>
  </si>
  <si>
    <t>OPEN</t>
  </si>
  <si>
    <t>TimeSlot.status</t>
  </si>
  <si>
    <t>FULL</t>
  </si>
  <si>
    <t>CLOSED</t>
  </si>
  <si>
    <t>CANCELLED</t>
  </si>
  <si>
    <t>Booking.status</t>
  </si>
  <si>
    <t>AWAITING_CONFIRMATION</t>
  </si>
  <si>
    <t>CONFIRMED</t>
  </si>
  <si>
    <t>COMPLETED</t>
  </si>
  <si>
    <t>EXPIRED</t>
  </si>
  <si>
    <t>REFUNDED</t>
  </si>
  <si>
    <t>Booking.cancelledBy</t>
  </si>
  <si>
    <t>SYSTEM</t>
  </si>
  <si>
    <t>PERCENTAGE</t>
  </si>
  <si>
    <t>Coupon.discountType</t>
  </si>
  <si>
    <t>FIXED_AMOUNT</t>
  </si>
  <si>
    <t>CARD</t>
  </si>
  <si>
    <t>Payment.method</t>
  </si>
  <si>
    <t>PAYPAL</t>
  </si>
  <si>
    <t>BANK_TRANSFER</t>
  </si>
  <si>
    <t>WALLET</t>
  </si>
  <si>
    <t>INITIATED</t>
  </si>
  <si>
    <t>Payment.status</t>
  </si>
  <si>
    <t>SUCCEEDED</t>
  </si>
  <si>
    <t>FAILED</t>
  </si>
  <si>
    <t>PARTIALLY_REFUNDED</t>
  </si>
  <si>
    <t>Refund.status</t>
  </si>
  <si>
    <t>PROCESSED</t>
  </si>
  <si>
    <t>SupplierPayout.status</t>
  </si>
  <si>
    <t>PAID</t>
  </si>
  <si>
    <t>PUBLISHED</t>
  </si>
  <si>
    <t>Review.status</t>
  </si>
  <si>
    <t>HIDDEN</t>
  </si>
  <si>
    <t>REMOVED</t>
  </si>
  <si>
    <t>SPAM</t>
  </si>
  <si>
    <t>ReviewReport.reason</t>
  </si>
  <si>
    <t>OFFENSIVE</t>
  </si>
  <si>
    <t>FAKE</t>
  </si>
  <si>
    <t>OTHER</t>
  </si>
  <si>
    <t>ReviewReport.status</t>
  </si>
  <si>
    <t>RESOLVED</t>
  </si>
  <si>
    <t>DISMISSED</t>
  </si>
  <si>
    <t>BOOKING_CONFIRMED</t>
  </si>
  <si>
    <t>Notification.type</t>
  </si>
  <si>
    <t>BOOKING_CANCELLED</t>
  </si>
  <si>
    <t>BOOKING_REJECTED</t>
  </si>
  <si>
    <t>BOOKING_REMINDER</t>
  </si>
  <si>
    <t>PAYMENT_FAILED</t>
  </si>
  <si>
    <t>REFUND_PROCESSED</t>
  </si>
  <si>
    <t>REVIEW_REPLY</t>
  </si>
  <si>
    <t>PROMOTION</t>
  </si>
  <si>
    <t>Name</t>
  </si>
  <si>
    <t>Type</t>
  </si>
  <si>
    <t>Columns / expression</t>
  </si>
  <si>
    <t>Purpose</t>
  </si>
  <si>
    <t>uk_users_email</t>
  </si>
  <si>
    <t>UNIQUE</t>
  </si>
  <si>
    <t>No duplicate accounts; lookup on login</t>
  </si>
  <si>
    <t>idx_users_status</t>
  </si>
  <si>
    <t>INDEX</t>
  </si>
  <si>
    <t>Admin filtering</t>
  </si>
  <si>
    <t>uk_verification_token_hash</t>
  </si>
  <si>
    <t>Token lookup</t>
  </si>
  <si>
    <t>idx_verification_user_type</t>
  </si>
  <si>
    <t>user_id, type</t>
  </si>
  <si>
    <t>Invalidate older tokens</t>
  </si>
  <si>
    <t>uk_refresh_token_hash</t>
  </si>
  <si>
    <t>idx_refresh_user</t>
  </si>
  <si>
    <t>Revoke all on password change</t>
  </si>
  <si>
    <t>uk_supplier_user</t>
  </si>
  <si>
    <t>One profile per user</t>
  </si>
  <si>
    <t>idx_supplier_status</t>
  </si>
  <si>
    <t>Admin pending list</t>
  </si>
  <si>
    <t>chk_supplier_commission</t>
  </si>
  <si>
    <t>CHECK</t>
  </si>
  <si>
    <t>commission_rate BETWEEN 0 AND 100</t>
  </si>
  <si>
    <t>Valid percentage</t>
  </si>
  <si>
    <t>uk_destination_slug</t>
  </si>
  <si>
    <t>SEO lookup</t>
  </si>
  <si>
    <t>idx_destination_popular</t>
  </si>
  <si>
    <t>popular, active</t>
  </si>
  <si>
    <t>Popular destinations endpoint</t>
  </si>
  <si>
    <t>uk_category_name</t>
  </si>
  <si>
    <t>uk_category_slug</t>
  </si>
  <si>
    <t>uk_tag_name</t>
  </si>
  <si>
    <t>uk_activity_slug</t>
  </si>
  <si>
    <t>GET /activities/slug/{slug}</t>
  </si>
  <si>
    <t>idx_activity_dest_status</t>
  </si>
  <si>
    <t>destination_id, status</t>
  </si>
  <si>
    <t>Listing by destination</t>
  </si>
  <si>
    <t>idx_activity_supplier</t>
  </si>
  <si>
    <t>supplier_id, status</t>
  </si>
  <si>
    <t>Supplier 'my activities'</t>
  </si>
  <si>
    <t>idx_activity_featured</t>
  </si>
  <si>
    <t>INDEX (partial)</t>
  </si>
  <si>
    <t>featured WHERE status = 'ACTIVE'</t>
  </si>
  <si>
    <t>idx_activity_search</t>
  </si>
  <si>
    <t>INDEX (GIN)</t>
  </si>
  <si>
    <t>to_tsvector('simple', title || ' ' || short_description)</t>
  </si>
  <si>
    <t>Keyword search (or pg_trgm)</t>
  </si>
  <si>
    <t>chk_activity_price</t>
  </si>
  <si>
    <t>base_price &gt;= 0</t>
  </si>
  <si>
    <t>chk_activity_duration</t>
  </si>
  <si>
    <t>duration_minutes &gt; 0</t>
  </si>
  <si>
    <t>chk_activity_rating</t>
  </si>
  <si>
    <t>average_rating BETWEEN 0 AND 5</t>
  </si>
  <si>
    <t>pk_activity_categories</t>
  </si>
  <si>
    <t>PRIMARY KEY</t>
  </si>
  <si>
    <t>activity_id, category_id</t>
  </si>
  <si>
    <t>idx_activity_cat_category</t>
  </si>
  <si>
    <t>Activities by category</t>
  </si>
  <si>
    <t>pk_activity_tags</t>
  </si>
  <si>
    <t>activity_id, tag_id</t>
  </si>
  <si>
    <t>pk_activity_languages</t>
  </si>
  <si>
    <t>activity_id, language_code</t>
  </si>
  <si>
    <t>idx_media_activity_order</t>
  </si>
  <si>
    <t>activity_id, display_order</t>
  </si>
  <si>
    <t>Gallery</t>
  </si>
  <si>
    <t>uk_tier_activity_name</t>
  </si>
  <si>
    <t>activity_id, name</t>
  </si>
  <si>
    <t>chk_tier_price</t>
  </si>
  <si>
    <t>price &gt;= 0</t>
  </si>
  <si>
    <t>uk_slot_activity_date_time</t>
  </si>
  <si>
    <t>activity_id, slot_date, start_time</t>
  </si>
  <si>
    <t>No duplicate slots</t>
  </si>
  <si>
    <t>idx_slot_activity_date</t>
  </si>
  <si>
    <t>activity_id, slot_date</t>
  </si>
  <si>
    <t>Availability calendar</t>
  </si>
  <si>
    <t>chk_slot_capacity</t>
  </si>
  <si>
    <t>capacity &gt; 0</t>
  </si>
  <si>
    <t>chk_slot_booked</t>
  </si>
  <si>
    <t>booked_count &gt;= 0 AND booked_count &lt;= capacity</t>
  </si>
  <si>
    <t>Last line of defence against overbooking</t>
  </si>
  <si>
    <t>chk_slot_times</t>
  </si>
  <si>
    <t>end_time &gt; start_time</t>
  </si>
  <si>
    <t>uk_blocked_activity_date</t>
  </si>
  <si>
    <t>activity_id, blocked_date</t>
  </si>
  <si>
    <t>uk_cart_user</t>
  </si>
  <si>
    <t>One cart per user</t>
  </si>
  <si>
    <t>uk_cart_item</t>
  </si>
  <si>
    <t>cart_id, time_slot_id, pricing_tier_id</t>
  </si>
  <si>
    <t>Merge duplicates into quantity</t>
  </si>
  <si>
    <t>chk_cart_item_qty</t>
  </si>
  <si>
    <t>quantity &gt; 0</t>
  </si>
  <si>
    <t>uk_booking_reference</t>
  </si>
  <si>
    <t>Lookup by reference</t>
  </si>
  <si>
    <t>uk_booking_idempotency</t>
  </si>
  <si>
    <t>Idempotent create</t>
  </si>
  <si>
    <t>idx_booking_user_status</t>
  </si>
  <si>
    <t>user_id, status, created_at DESC</t>
  </si>
  <si>
    <t>My bookings</t>
  </si>
  <si>
    <t>idx_booking_supplier_status</t>
  </si>
  <si>
    <t>Supplier bookings</t>
  </si>
  <si>
    <t>idx_booking_hold_expiry</t>
  </si>
  <si>
    <t>hold_expires_at WHERE status = 'PENDING'</t>
  </si>
  <si>
    <t>Expiry scheduler</t>
  </si>
  <si>
    <t>chk_booking_total</t>
  </si>
  <si>
    <t>total_amount &gt;= 0</t>
  </si>
  <si>
    <t>idx_booking_item_booking</t>
  </si>
  <si>
    <t>idx_booking_item_slot</t>
  </si>
  <si>
    <t>Seats per slot</t>
  </si>
  <si>
    <t>chk_booking_item_qty</t>
  </si>
  <si>
    <t>idx_participant_booking</t>
  </si>
  <si>
    <t>uk_coupon_code</t>
  </si>
  <si>
    <t>chk_coupon_value</t>
  </si>
  <si>
    <t>discount_value &gt; 0</t>
  </si>
  <si>
    <t>chk_coupon_dates</t>
  </si>
  <si>
    <t>valid_until &gt; valid_from</t>
  </si>
  <si>
    <t>uk_redemption_coupon_booking</t>
  </si>
  <si>
    <t>coupon_id, booking_id</t>
  </si>
  <si>
    <t>idx_redemption_coupon_user</t>
  </si>
  <si>
    <t>coupon_id, user_id</t>
  </si>
  <si>
    <t>Per-user limit check</t>
  </si>
  <si>
    <t>uk_payment_reference</t>
  </si>
  <si>
    <t>uk_payment_provider_txn</t>
  </si>
  <si>
    <t>uk_payment_idempotency</t>
  </si>
  <si>
    <t>idx_payment_booking</t>
  </si>
  <si>
    <t>chk_payment_amount</t>
  </si>
  <si>
    <t>amount &gt; 0</t>
  </si>
  <si>
    <t>uk_webhook_event</t>
  </si>
  <si>
    <t>Webhook idempotency</t>
  </si>
  <si>
    <t>idx_refund_payment</t>
  </si>
  <si>
    <t>chk_refund_amount</t>
  </si>
  <si>
    <t>idx_payout_supplier_period</t>
  </si>
  <si>
    <t>supplier_id, period_start</t>
  </si>
  <si>
    <t>chk_payout_net</t>
  </si>
  <si>
    <t>net_amount = gross_amount - commission_amount</t>
  </si>
  <si>
    <t>uk_review_booking</t>
  </si>
  <si>
    <t>idx_review_activity_status</t>
  </si>
  <si>
    <t>activity_id, status, created_at DESC</t>
  </si>
  <si>
    <t>Review listing</t>
  </si>
  <si>
    <t>chk_review_rating</t>
  </si>
  <si>
    <t>rating BETWEEN 1 AND 5</t>
  </si>
  <si>
    <t>uk_vote_review_user</t>
  </si>
  <si>
    <t>review_id, user_id</t>
  </si>
  <si>
    <t>One vote per user</t>
  </si>
  <si>
    <t>uk_report_review_reporter</t>
  </si>
  <si>
    <t>review_id, reporter_id</t>
  </si>
  <si>
    <t>One report per user</t>
  </si>
  <si>
    <t>idx_report_status</t>
  </si>
  <si>
    <t>Admin queue</t>
  </si>
  <si>
    <t>uk_wishlist_user_activity</t>
  </si>
  <si>
    <t>user_id, activity_id</t>
  </si>
  <si>
    <t>idx_notification_user_unread</t>
  </si>
  <si>
    <t>user_id, is_read, created_at DESC</t>
  </si>
  <si>
    <t>Inbox</t>
  </si>
  <si>
    <t>uk_notif_pref_user</t>
  </si>
  <si>
    <t>idx_audit_entity</t>
  </si>
  <si>
    <t>entity_type, entity_id</t>
  </si>
  <si>
    <t>idx_audit_actor_time</t>
  </si>
  <si>
    <t>actor_id, created_at DESC</t>
  </si>
  <si>
    <t>DTO class</t>
  </si>
  <si>
    <t>Kind</t>
  </si>
  <si>
    <t>Used by endpoint</t>
  </si>
  <si>
    <t>Fields (name:type, ? = optional)</t>
  </si>
  <si>
    <t>RegisterRequest</t>
  </si>
  <si>
    <t>Request</t>
  </si>
  <si>
    <t>POST /auth/register</t>
  </si>
  <si>
    <t>email:String, password:String, firstName:String, lastName:String, phoneNumber:String?, preferredLanguage:String?</t>
  </si>
  <si>
    <t>LoginRequest</t>
  </si>
  <si>
    <t>POST /auth/login</t>
  </si>
  <si>
    <t>email:String, password:String</t>
  </si>
  <si>
    <t>AuthResponse</t>
  </si>
  <si>
    <t>Response</t>
  </si>
  <si>
    <t>POST /auth/login, /auth/refresh-token</t>
  </si>
  <si>
    <t>accessToken:String, refreshToken:String, tokenType:String, expiresInSeconds:Long, user:UserResponse</t>
  </si>
  <si>
    <t>RefreshTokenRequest</t>
  </si>
  <si>
    <t>POST /auth/refresh-token, /auth/logout</t>
  </si>
  <si>
    <t>refreshToken:String</t>
  </si>
  <si>
    <t>ForgotPasswordRequest</t>
  </si>
  <si>
    <t>POST /auth/forgot-password</t>
  </si>
  <si>
    <t>email:String</t>
  </si>
  <si>
    <t>ResetPasswordRequest</t>
  </si>
  <si>
    <t>POST /auth/reset-password</t>
  </si>
  <si>
    <t>token:String, newPassword:String</t>
  </si>
  <si>
    <t>ChangePasswordRequest</t>
  </si>
  <si>
    <t>PATCH /users/me/password</t>
  </si>
  <si>
    <t>currentPassword:String, newPassword:String</t>
  </si>
  <si>
    <t>PageResponse&lt;T&gt;</t>
  </si>
  <si>
    <t>All list endpoints</t>
  </si>
  <si>
    <t>content:List&lt;T&gt;, page:int, size:int, totalElements:long, totalPages:int, last:boolean</t>
  </si>
  <si>
    <t>ErrorResponse</t>
  </si>
  <si>
    <t>All error cases</t>
  </si>
  <si>
    <t>timestamp:Instant, status:int, errorCode:String, message:String, fieldErrors:List&lt;FieldErrorDto&gt;, path:String</t>
  </si>
  <si>
    <t>FieldErrorDto</t>
  </si>
  <si>
    <t>Inside ErrorResponse</t>
  </si>
  <si>
    <t>field:String, message:String, rejectedValue:Object</t>
  </si>
  <si>
    <t>ActivitySearchCriteria</t>
  </si>
  <si>
    <t>Request (query params)</t>
  </si>
  <si>
    <t>GET /activities, /activities/search</t>
  </si>
  <si>
    <t>q:String?, destinationId:Long?, categoryId:Long?, minPrice:BigDecimal?, maxPrice:BigDecimal?, minRating:BigDecimal?, minDurationMinutes:Integer?, maxDurationMinutes:Integer?, language:String?, date:LocalDate?, freeCancellation:Boolean?, instantConfirmation:Boolean?, sortBy:String?, sortDir:String?, page:int, size:int</t>
  </si>
  <si>
    <t>ActivityRequest</t>
  </si>
  <si>
    <t>POST/PUT /supplier/activities</t>
  </si>
  <si>
    <t>All Activity fields flagged Create/Update + categoryIds:List&lt;Long&gt;, tagIds:List&lt;Long&gt;, languageCodes:List&lt;String&gt;, pricingTiers:List&lt;PricingTierRequest&gt;?</t>
  </si>
  <si>
    <t>ActivitySummaryResponse</t>
  </si>
  <si>
    <t>GET /activities, featured, similar, wishlist</t>
  </si>
  <si>
    <t>id, title, slug, shortDescription, coverImageUrl, destinationName, basePrice, currency, averageRating, reviewCount, durationMinutes, freeCancellation:boolean, instantConfirmation</t>
  </si>
  <si>
    <t>ActivityDetailResponse</t>
  </si>
  <si>
    <t>GET /activities/{id}, /slug/{slug}</t>
  </si>
  <si>
    <t>All Activity response fields + media:List&lt;MediaResponse&gt;, pricingTiers:List&lt;PricingTierResponse&gt;, categories:List&lt;CategoryResponse&gt;, tags:List&lt;String&gt;, languageCodes:List&lt;String&gt;, supplier:SupplierSummary, destination:DestinationResponse</t>
  </si>
  <si>
    <t>AvailabilityDayResponse</t>
  </si>
  <si>
    <t>GET /activities/{id}/availability</t>
  </si>
  <si>
    <t>date:LocalDate, available:boolean, minPrice:BigDecimal, spotsLeft:Integer</t>
  </si>
  <si>
    <t>PriceQuoteRequest</t>
  </si>
  <si>
    <t>Request (query/body)</t>
  </si>
  <si>
    <t>GET /activities/{id}/pricing</t>
  </si>
  <si>
    <t>date:LocalDate, timeSlotId:Long?, participants:List&lt;ParticipantCount(pricingTierId:Long, quantity:int)&gt;</t>
  </si>
  <si>
    <t>PriceQuoteResponse</t>
  </si>
  <si>
    <t>lines:List&lt;PriceLine(tierName, quantity, unitPrice, lineTotal)&gt;, subtotal, discountAmount, total, currency</t>
  </si>
  <si>
    <t>BulkTimeSlotRequest</t>
  </si>
  <si>
    <t>POST /supplier/activities/{id}/time-slots/bulk</t>
  </si>
  <si>
    <t>startDate:LocalDate, endDate:LocalDate, daysOfWeek:List&lt;DayOfWeek&gt;, startTimes:List&lt;LocalTime&gt;, durationMinutes:int, capacity:int, priceMultiplier:BigDecimal?</t>
  </si>
  <si>
    <t>BlockDatesRequest</t>
  </si>
  <si>
    <t>POST /supplier/activities/{id}/block-dates</t>
  </si>
  <si>
    <t>dates:List&lt;LocalDate&gt;, reason:String?</t>
  </si>
  <si>
    <t>AddCartItemRequest</t>
  </si>
  <si>
    <t>POST /cart/items</t>
  </si>
  <si>
    <t>timeSlotId:Long, pricingTierId:Long, quantity:int</t>
  </si>
  <si>
    <t>ApplyCouponRequest</t>
  </si>
  <si>
    <t>POST /cart/apply-coupon</t>
  </si>
  <si>
    <t>code:String</t>
  </si>
  <si>
    <t>CartResponse</t>
  </si>
  <si>
    <t>GET /cart</t>
  </si>
  <si>
    <t>id:Long, items:List&lt;CartItemResponse&gt;, couponCode:String?, subtotal, discountAmount, total, currency</t>
  </si>
  <si>
    <t>CreateBookingRequest</t>
  </si>
  <si>
    <t>POST /bookings</t>
  </si>
  <si>
    <t>cartId:Long? OR items:List&lt;BookingItemRequest(timeSlotId, pricingTierId, quantity)&gt;, contactName, contactEmail, contactPhone?, specialRequests?, couponCode?, participants:List&lt;ParticipantRequest&gt;</t>
  </si>
  <si>
    <t>BookingResponse</t>
  </si>
  <si>
    <t>GET /bookings, /bookings/{id}</t>
  </si>
  <si>
    <t>All Booking response fields + items:List&lt;BookingItemResponse&gt;, participants:List&lt;ParticipantResponse&gt;, payments:List&lt;PaymentSummary&gt;</t>
  </si>
  <si>
    <t>UpdateParticipantsRequest</t>
  </si>
  <si>
    <t>PATCH /bookings/{id}/participants</t>
  </si>
  <si>
    <t>participants:List&lt;ParticipantRequest&gt;</t>
  </si>
  <si>
    <t>RescheduleBookingRequest</t>
  </si>
  <si>
    <t>PATCH /bookings/{id}/reschedule</t>
  </si>
  <si>
    <t>bookingItemId:Long, newTimeSlotId:Long</t>
  </si>
  <si>
    <t>CancelBookingRequest</t>
  </si>
  <si>
    <t>POST /bookings/{id}/cancel</t>
  </si>
  <si>
    <t>reason:String?</t>
  </si>
  <si>
    <t>CancellationPolicyResponse</t>
  </si>
  <si>
    <t>GET /bookings/{id}/cancellation-policy</t>
  </si>
  <si>
    <t>bookingId:Long, refundable:boolean, refundPercentage:int, refundAmount:BigDecimal, freeCancellationUntil:Instant</t>
  </si>
  <si>
    <t>VoucherResponse</t>
  </si>
  <si>
    <t>GET /bookings/{id}/voucher</t>
  </si>
  <si>
    <t>bookingReference, activityTitle, startDateTime, meetingPoint, participants:List&lt;ParticipantResponse&gt;, qrCodeBase64:String</t>
  </si>
  <si>
    <t>InitiatePaymentRequest</t>
  </si>
  <si>
    <t>POST /payments/initiate</t>
  </si>
  <si>
    <t>bookingId:Long, method:PaymentMethod, returnUrl:String?</t>
  </si>
  <si>
    <t>InitiatePaymentResponse</t>
  </si>
  <si>
    <t>paymentId:Long, paymentReference:String, status:PaymentStatus, redirectUrl:String?, clientSecret:String?</t>
  </si>
  <si>
    <t>ConfirmPaymentRequest</t>
  </si>
  <si>
    <t>POST /payments/confirm</t>
  </si>
  <si>
    <t>paymentId:Long, providerTransactionId:String</t>
  </si>
  <si>
    <t>PaymentWebhookRequest</t>
  </si>
  <si>
    <t>POST /payments/webhook</t>
  </si>
  <si>
    <t>eventId:String, eventType:String, paymentReference:String, status:String, signature:String (header)</t>
  </si>
  <si>
    <t>ReviewReplyRequest</t>
  </si>
  <si>
    <t>POST /supplier/reviews/{id}/reply</t>
  </si>
  <si>
    <t>reply:String</t>
  </si>
  <si>
    <t>ReportReviewRequest</t>
  </si>
  <si>
    <t>POST /reviews/{id}/report</t>
  </si>
  <si>
    <t>reason:ReportReason, details:String?</t>
  </si>
  <si>
    <t>StatusUpdateRequest</t>
  </si>
  <si>
    <t>PATCH .../status (user, activity, slot)</t>
  </si>
  <si>
    <t>status:String, reason:String?</t>
  </si>
  <si>
    <t>RejectRequest</t>
  </si>
  <si>
    <t>PATCH .../reject (supplier, activity, booking)</t>
  </si>
  <si>
    <t>reason:String</t>
  </si>
  <si>
    <t>RefundRequest</t>
  </si>
  <si>
    <t>POST /admin/payments/{id}/refund</t>
  </si>
  <si>
    <t>amount:BigDecimal, reason:String</t>
  </si>
  <si>
    <t>ReportQuery</t>
  </si>
  <si>
    <t>GET .../reports/*</t>
  </si>
  <si>
    <t>from:LocalDate, to:LocalDate, groupBy:String? (DAY|WEEK|MONTH)</t>
  </si>
  <si>
    <t>RevenueReportResponse</t>
  </si>
  <si>
    <t>GET .../reports/revenue</t>
  </si>
  <si>
    <t>rows:List&lt;RevenueRow(period, bookings, grossAmount, commissionAmount, netAmount)&gt;, totalGross, totalNet, currency</t>
  </si>
  <si>
    <t>DashboardStatsResponse</t>
  </si>
  <si>
    <t>GET /supplier/dashboard/stats</t>
  </si>
  <si>
    <t>totalBookings:long, pendingBookings:long, revenueThisMonth:BigDecimal, activeActivities:long, averageRating:BigDecimal</t>
  </si>
  <si>
    <t>TopActivityResponse</t>
  </si>
  <si>
    <t>GET /admin/reports/top-activities</t>
  </si>
  <si>
    <t>activityId, title, bookings:long, revenue:BigDecimal, averageRating</t>
  </si>
  <si>
    <t>UserGrowthResponse</t>
  </si>
  <si>
    <t>GET /admin/reports/user-growth</t>
  </si>
  <si>
    <t>period:String, newUsers:long, totalUsers:long</t>
  </si>
  <si>
    <t>From</t>
  </si>
  <si>
    <t>To</t>
  </si>
  <si>
    <t>Trigger</t>
  </si>
  <si>
    <t>Payment success, activity has instantConfirmation = true</t>
  </si>
  <si>
    <t>Payment success, activity has instantConfirmation = false</t>
  </si>
  <si>
    <t>Supplier confirms (PATCH /supplier/bookings/{id}/confirm)</t>
  </si>
  <si>
    <t>Supplier rejects (refund the payment)</t>
  </si>
  <si>
    <t>Activity attended / supplier marks complete</t>
  </si>
  <si>
    <t>Hold timeout (e.g. 15 minutes); release slot capacity</t>
  </si>
  <si>
    <t>Customer or admin cancels</t>
  </si>
  <si>
    <t>Refund processed</t>
  </si>
  <si>
    <t>Note: model this as an enum with allowed transitions and reject illegal ones with 409 Conflict.</t>
  </si>
  <si>
    <t>Topic</t>
  </si>
  <si>
    <t>What to practise</t>
  </si>
  <si>
    <t>Done?</t>
  </si>
  <si>
    <t>Overbooking prevention</t>
  </si>
  <si>
    <t>Pessimistic locking (@Lock) or optimistic locking (@Version) on TimeSlot capacity</t>
  </si>
  <si>
    <t>No</t>
  </si>
  <si>
    <t>Slot hold with expiry</t>
  </si>
  <si>
    <t>@Scheduled job that expires PENDING bookings after 15 minutes and releases capacity</t>
  </si>
  <si>
    <t>Idempotency</t>
  </si>
  <si>
    <t>Idempotency-Key header for payment and booking creation</t>
  </si>
  <si>
    <t>Dynamic pricing</t>
  </si>
  <si>
    <t>Weekend or peak pricing, group discounts, coupon rules</t>
  </si>
  <si>
    <t>Refund policy engine</t>
  </si>
  <si>
    <t>e.g. 100% refund over 24h before start, 0% after</t>
  </si>
  <si>
    <t>Dynamic filtering</t>
  </si>
  <si>
    <t>JPA Specifications or Criteria API for /activities</t>
  </si>
  <si>
    <t>N+1 problems</t>
  </si>
  <si>
    <t>Entity graphs, DTO projections on listing endpoints</t>
  </si>
  <si>
    <t>Soft deletes &amp; auditing</t>
  </si>
  <si>
    <t>createdAt, updatedAt, createdBy</t>
  </si>
  <si>
    <t>Multi-currency &amp; i18n</t>
  </si>
  <si>
    <t>Activity descriptions and prices in multiple languages/currencies</t>
  </si>
  <si>
    <t>Role-based security</t>
  </si>
  <si>
    <t>Spring Security + JWT, plus ownership checks (supplier touches only own activities)</t>
  </si>
  <si>
    <t>Async work</t>
  </si>
  <si>
    <t>Booking confirmation emails and notifications via events or Kafka</t>
  </si>
  <si>
    <t>Caching</t>
  </si>
  <si>
    <t>Destinations, categories, featured activities</t>
  </si>
  <si>
    <t>Area</t>
  </si>
  <si>
    <t>Convention</t>
  </si>
  <si>
    <t>Error format</t>
  </si>
  <si>
    <t>timestamp, status, errorCode, message, fieldErrors[], path</t>
  </si>
  <si>
    <t>Status codes</t>
  </si>
  <si>
    <t>201 create, 204 delete, 400 validation, 401/403 auth, 404 missing, 409 conflict (slot full, invalid transition), 422 business rule violation</t>
  </si>
  <si>
    <t>Pagination envelope</t>
  </si>
  <si>
    <t>content, page, size, totalElements, totalPages</t>
  </si>
  <si>
    <t>Booking reference</t>
  </si>
  <si>
    <t>Human-friendly code (e.g. GYG-8F3K2Q) rather than DB id</t>
  </si>
  <si>
    <t>DTOs</t>
  </si>
  <si>
    <t>Separate request and response DTOs from entities</t>
  </si>
  <si>
    <t>Docs &amp; migrations</t>
  </si>
  <si>
    <t>OpenAPI/Swagger and Flyway migrations from day one</t>
  </si>
  <si>
    <t>Versioning</t>
  </si>
  <si>
    <t>Prefix every endpoint with /api/v1</t>
  </si>
  <si>
    <t>Primary keys</t>
  </si>
  <si>
    <t>BIGINT identity (Long) for every table except pure join tables, which use composite PKs</t>
  </si>
  <si>
    <t>Naming</t>
  </si>
  <si>
    <t>Tables: plural snake_case. Columns: snake_case. FK columns: &lt;entity&gt;_id. Constraints: pk_/uk_/idx_/chk_ prefix</t>
  </si>
  <si>
    <t>Timestamps</t>
  </si>
  <si>
    <t>Use Instant mapped to TIMESTAMPTZ; store UTC, convert to destination timezone only for display</t>
  </si>
  <si>
    <t>Money</t>
  </si>
  <si>
    <t>BigDecimal mapped to NUMERIC; never double/float. Currency as ISO 4217 code</t>
  </si>
  <si>
    <t>@Enumerated(EnumType.STRING) into VARCHAR(30); never ORDINAL</t>
  </si>
  <si>
    <t>FK fields in DTOs</t>
  </si>
  <si>
    <t>A FK field on an entity (e.g. activity) is exposed in DTOs as &lt;name&gt;Id:Long, or as a nested summary object in responses</t>
  </si>
  <si>
    <t>DTO flags</t>
  </si>
  <si>
    <t>Entity Fields columns Create/Update/Response mark where a field appears; blank everywhere = internal only (e.g. passwordHash)</t>
  </si>
  <si>
    <t>Server-controlled fields</t>
  </si>
  <si>
    <t>Status, totals, prices, counters, ownership and audit fields are never taken from the client</t>
  </si>
  <si>
    <t>Fetching</t>
  </si>
  <si>
    <t>Use LAZY for all @ManyToOne/@OneToMany; load with entity graphs or DTO projections to avoid N+1</t>
  </si>
  <si>
    <t>Step</t>
  </si>
  <si>
    <t>Auth and users</t>
  </si>
  <si>
    <t>Destinations, categories, activities (CRUD plus search)</t>
  </si>
  <si>
    <t>Time slots and availability</t>
  </si>
  <si>
    <t>Cart and booking creation with slot locking</t>
  </si>
  <si>
    <t>Mock payments and booking lifecycle</t>
  </si>
  <si>
    <t>Cancellation and refunds</t>
  </si>
  <si>
    <t>Reviews and wishlist</t>
  </si>
  <si>
    <t>Supplier module and admin approvals</t>
  </si>
  <si>
    <t>Notifications, reports, caching, scheduled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</si>
</sst>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8" zoomScaleNormal="100" workbookViewId="0">
      <selection activeCell="E10" sqref="E10"/>
    </sheetView>
  </sheetViews>
  <sheetFormatPr defaultColWidth="8.6640625" defaultRowHeight="14.4" x14ac:dyDescent="0.3"/>
  <cols>
    <col min="1" max="1" width="22" customWidth="1"/>
    <col min="2" max="2" width="16" customWidth="1"/>
    <col min="3" max="4" width="14" customWidth="1"/>
    <col min="5" max="6" width="10" customWidth="1"/>
  </cols>
  <sheetData>
    <row r="1" spans="1:6" ht="17.25" customHeight="1" x14ac:dyDescent="0.3">
      <c r="A1" s="1" t="s">
        <v>0</v>
      </c>
    </row>
    <row r="2" spans="1:6" ht="15" customHeight="1" x14ac:dyDescent="0.3">
      <c r="A2" s="2" t="s">
        <v>1</v>
      </c>
    </row>
    <row r="4" spans="1:6" ht="1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5" customHeight="1" x14ac:dyDescent="0.3">
      <c r="A5" s="4" t="s">
        <v>8</v>
      </c>
      <c r="B5" s="4">
        <f>COUNTIF('API Endpoints'!$B:$B,A5)</f>
        <v>63</v>
      </c>
      <c r="C5" s="4">
        <f>COUNTIFS('API Endpoints'!$B:$B,$A5,'API Endpoints'!$G:$G,"Not started")</f>
        <v>63</v>
      </c>
      <c r="D5" s="4">
        <f>COUNTIFS('API Endpoints'!$B:$B,$A5,'API Endpoints'!$G:$G,"In progress")</f>
        <v>0</v>
      </c>
      <c r="E5" s="4">
        <f>COUNTIFS('API Endpoints'!$B:$B,$A5,'API Endpoints'!$G:$G,"Done")</f>
        <v>0</v>
      </c>
      <c r="F5" s="5">
        <f>IF(B5=0,0,E5/B5)</f>
        <v>0</v>
      </c>
    </row>
    <row r="6" spans="1:6" ht="15" customHeight="1" x14ac:dyDescent="0.3">
      <c r="A6" s="4" t="s">
        <v>9</v>
      </c>
      <c r="B6" s="4">
        <f>COUNTIF('API Endpoints'!$B:$B,A6)</f>
        <v>26</v>
      </c>
      <c r="C6" s="4">
        <f>COUNTIFS('API Endpoints'!$B:$B,$A6,'API Endpoints'!$G:$G,"Not started")</f>
        <v>26</v>
      </c>
      <c r="D6" s="4">
        <f>COUNTIFS('API Endpoints'!$B:$B,$A6,'API Endpoints'!$G:$G,"In progress")</f>
        <v>0</v>
      </c>
      <c r="E6" s="4">
        <f>COUNTIFS('API Endpoints'!$B:$B,$A6,'API Endpoints'!$G:$G,"Done")</f>
        <v>0</v>
      </c>
      <c r="F6" s="5">
        <f>IF(B6=0,0,E6/B6)</f>
        <v>0</v>
      </c>
    </row>
    <row r="7" spans="1:6" ht="15" customHeight="1" x14ac:dyDescent="0.3">
      <c r="A7" s="4" t="s">
        <v>10</v>
      </c>
      <c r="B7" s="4">
        <f>COUNTIF('API Endpoints'!$B:$B,A7)</f>
        <v>40</v>
      </c>
      <c r="C7" s="4">
        <f>COUNTIFS('API Endpoints'!$B:$B,$A7,'API Endpoints'!$G:$G,"Not started")</f>
        <v>35</v>
      </c>
      <c r="D7" s="4">
        <f>COUNTIFS('API Endpoints'!$B:$B,$A7,'API Endpoints'!$G:$G,"In progress")</f>
        <v>0</v>
      </c>
      <c r="E7" s="4">
        <f>COUNTIFS('API Endpoints'!$B:$B,$A7,'API Endpoints'!$G:$G,"Done")</f>
        <v>5</v>
      </c>
      <c r="F7" s="5">
        <f>IF(B7=0,0,E7/B7)</f>
        <v>0.125</v>
      </c>
    </row>
    <row r="8" spans="1:6" ht="15" customHeight="1" x14ac:dyDescent="0.3">
      <c r="A8" s="6" t="s">
        <v>11</v>
      </c>
      <c r="B8" s="6">
        <f>SUM(B5:B7)</f>
        <v>129</v>
      </c>
      <c r="C8" s="6">
        <f>SUM(C5:C7)</f>
        <v>124</v>
      </c>
      <c r="D8" s="6">
        <f>SUM(D5:D7)</f>
        <v>0</v>
      </c>
      <c r="E8" s="6">
        <f>SUM(E5:E7)</f>
        <v>5</v>
      </c>
      <c r="F8" s="7">
        <f>IF(B8=0,0,E8/B8)</f>
        <v>3.875968992248062E-2</v>
      </c>
    </row>
    <row r="10" spans="1:6" ht="15" customHeight="1" x14ac:dyDescent="0.3">
      <c r="A10" s="8" t="s">
        <v>12</v>
      </c>
    </row>
    <row r="11" spans="1:6" ht="15" customHeight="1" x14ac:dyDescent="0.3">
      <c r="A11" s="2" t="s">
        <v>13</v>
      </c>
      <c r="B11" s="2">
        <f>COUNTA('Domain Entities'!$A:$A)-1</f>
        <v>33</v>
      </c>
    </row>
    <row r="12" spans="1:6" ht="15" customHeight="1" x14ac:dyDescent="0.3">
      <c r="A12" s="2" t="s">
        <v>14</v>
      </c>
      <c r="B12" s="2">
        <f>COUNTA('Entity Fields'!$A:$A)-1</f>
        <v>335</v>
      </c>
    </row>
    <row r="13" spans="1:6" ht="15" customHeight="1" x14ac:dyDescent="0.3">
      <c r="A13" s="2" t="s">
        <v>15</v>
      </c>
      <c r="B13" s="2">
        <f>SUMPRODUCT((Enums!$A$2:$A$500&lt;&gt;"")/COUNTIF(Enums!$A$2:$A$500,Enums!$A$2:$A$500&amp;""))</f>
        <v>18.999999999999996</v>
      </c>
    </row>
    <row r="14" spans="1:6" ht="15" customHeight="1" x14ac:dyDescent="0.3">
      <c r="A14" s="2" t="s">
        <v>16</v>
      </c>
      <c r="B14" s="2">
        <f>COUNTA('DTO Catalog'!$A:$A)-1</f>
        <v>43</v>
      </c>
    </row>
    <row r="15" spans="1:6" ht="15" customHeight="1" x14ac:dyDescent="0.3">
      <c r="A15" s="2"/>
    </row>
    <row r="16" spans="1:6" ht="15" customHeight="1" x14ac:dyDescent="0.3">
      <c r="A16" s="8" t="s">
        <v>17</v>
      </c>
    </row>
    <row r="17" spans="1:1" x14ac:dyDescent="0.3">
      <c r="A17" s="2" t="s">
        <v>18</v>
      </c>
    </row>
    <row r="18" spans="1:1" x14ac:dyDescent="0.3">
      <c r="A18" s="2" t="s">
        <v>19</v>
      </c>
    </row>
    <row r="19" spans="1:1" x14ac:dyDescent="0.3">
      <c r="A19" s="2" t="s">
        <v>20</v>
      </c>
    </row>
    <row r="20" spans="1:1" x14ac:dyDescent="0.3">
      <c r="A20" s="2" t="s">
        <v>21</v>
      </c>
    </row>
    <row r="21" spans="1:1" x14ac:dyDescent="0.3">
      <c r="A21" s="2" t="s">
        <v>22</v>
      </c>
    </row>
    <row r="22" spans="1:1" x14ac:dyDescent="0.3">
      <c r="A22" s="2" t="s">
        <v>23</v>
      </c>
    </row>
    <row r="23" spans="1:1" x14ac:dyDescent="0.3">
      <c r="A23" s="2" t="s">
        <v>24</v>
      </c>
    </row>
    <row r="24" spans="1:1" x14ac:dyDescent="0.3">
      <c r="A24" s="2" t="s">
        <v>25</v>
      </c>
    </row>
    <row r="25" spans="1:1" x14ac:dyDescent="0.3">
      <c r="A25" s="2" t="s">
        <v>26</v>
      </c>
    </row>
    <row r="26" spans="1:1" x14ac:dyDescent="0.3">
      <c r="A26" s="2" t="s">
        <v>27</v>
      </c>
    </row>
    <row r="27" spans="1:1" x14ac:dyDescent="0.3">
      <c r="A27" s="2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"/>
  <sheetViews>
    <sheetView zoomScaleNormal="100" workbookViewId="0">
      <pane ySplit="1" topLeftCell="A96" activePane="bottomLeft" state="frozen"/>
      <selection pane="bottomLeft" activeCell="A111" sqref="A111:XFD111"/>
    </sheetView>
  </sheetViews>
  <sheetFormatPr defaultColWidth="8.6640625" defaultRowHeight="14.4" x14ac:dyDescent="0.3"/>
  <cols>
    <col min="1" max="1" width="6" customWidth="1"/>
    <col min="2" max="2" width="12" customWidth="1"/>
    <col min="3" max="3" width="26" customWidth="1"/>
    <col min="4" max="4" width="10" customWidth="1"/>
    <col min="5" max="5" width="48" customWidth="1"/>
    <col min="6" max="6" width="70" customWidth="1"/>
    <col min="7" max="7" width="14" customWidth="1"/>
  </cols>
  <sheetData>
    <row r="1" spans="1:7" ht="15" customHeight="1" x14ac:dyDescent="0.3">
      <c r="A1" s="9" t="s">
        <v>29</v>
      </c>
      <c r="B1" s="9" t="s">
        <v>2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</row>
    <row r="2" spans="1:7" ht="15" customHeight="1" x14ac:dyDescent="0.3">
      <c r="A2" s="10">
        <v>1</v>
      </c>
      <c r="B2" s="10" t="s">
        <v>8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4</v>
      </c>
    </row>
    <row r="3" spans="1:7" ht="15" customHeight="1" x14ac:dyDescent="0.3">
      <c r="A3" s="10">
        <v>2</v>
      </c>
      <c r="B3" s="10" t="s">
        <v>8</v>
      </c>
      <c r="C3" s="10" t="s">
        <v>35</v>
      </c>
      <c r="D3" s="10" t="s">
        <v>36</v>
      </c>
      <c r="E3" s="10" t="s">
        <v>39</v>
      </c>
      <c r="F3" s="10" t="s">
        <v>40</v>
      </c>
      <c r="G3" s="10" t="s">
        <v>4</v>
      </c>
    </row>
    <row r="4" spans="1:7" ht="15" customHeight="1" x14ac:dyDescent="0.3">
      <c r="A4" s="10">
        <v>3</v>
      </c>
      <c r="B4" s="10" t="s">
        <v>8</v>
      </c>
      <c r="C4" s="10" t="s">
        <v>35</v>
      </c>
      <c r="D4" s="10" t="s">
        <v>36</v>
      </c>
      <c r="E4" s="10" t="s">
        <v>41</v>
      </c>
      <c r="F4" s="10" t="s">
        <v>42</v>
      </c>
      <c r="G4" s="10" t="s">
        <v>4</v>
      </c>
    </row>
    <row r="5" spans="1:7" ht="15" customHeight="1" x14ac:dyDescent="0.3">
      <c r="A5" s="10">
        <v>4</v>
      </c>
      <c r="B5" s="10" t="s">
        <v>8</v>
      </c>
      <c r="C5" s="10" t="s">
        <v>35</v>
      </c>
      <c r="D5" s="10" t="s">
        <v>36</v>
      </c>
      <c r="E5" s="10" t="s">
        <v>43</v>
      </c>
      <c r="F5" s="10" t="s">
        <v>44</v>
      </c>
      <c r="G5" s="10" t="s">
        <v>4</v>
      </c>
    </row>
    <row r="6" spans="1:7" ht="15" customHeight="1" x14ac:dyDescent="0.3">
      <c r="A6" s="10">
        <v>5</v>
      </c>
      <c r="B6" s="10" t="s">
        <v>8</v>
      </c>
      <c r="C6" s="10" t="s">
        <v>35</v>
      </c>
      <c r="D6" s="10" t="s">
        <v>36</v>
      </c>
      <c r="E6" s="10" t="s">
        <v>45</v>
      </c>
      <c r="F6" s="10" t="s">
        <v>46</v>
      </c>
      <c r="G6" s="10" t="s">
        <v>4</v>
      </c>
    </row>
    <row r="7" spans="1:7" ht="15" customHeight="1" x14ac:dyDescent="0.3">
      <c r="A7" s="10">
        <v>6</v>
      </c>
      <c r="B7" s="10" t="s">
        <v>8</v>
      </c>
      <c r="C7" s="10" t="s">
        <v>35</v>
      </c>
      <c r="D7" s="10" t="s">
        <v>36</v>
      </c>
      <c r="E7" s="10" t="s">
        <v>47</v>
      </c>
      <c r="F7" s="10" t="s">
        <v>48</v>
      </c>
      <c r="G7" s="10" t="s">
        <v>4</v>
      </c>
    </row>
    <row r="8" spans="1:7" ht="15" customHeight="1" x14ac:dyDescent="0.3">
      <c r="A8" s="10">
        <v>7</v>
      </c>
      <c r="B8" s="10" t="s">
        <v>8</v>
      </c>
      <c r="C8" s="10" t="s">
        <v>35</v>
      </c>
      <c r="D8" s="10" t="s">
        <v>49</v>
      </c>
      <c r="E8" s="10" t="s">
        <v>50</v>
      </c>
      <c r="F8" s="10" t="s">
        <v>51</v>
      </c>
      <c r="G8" s="10" t="s">
        <v>4</v>
      </c>
    </row>
    <row r="9" spans="1:7" ht="15" customHeight="1" x14ac:dyDescent="0.3">
      <c r="A9" s="10">
        <v>8</v>
      </c>
      <c r="B9" s="10" t="s">
        <v>8</v>
      </c>
      <c r="C9" s="10" t="s">
        <v>35</v>
      </c>
      <c r="D9" s="10" t="s">
        <v>49</v>
      </c>
      <c r="E9" s="10" t="s">
        <v>52</v>
      </c>
      <c r="F9" s="10" t="s">
        <v>53</v>
      </c>
      <c r="G9" s="10" t="s">
        <v>4</v>
      </c>
    </row>
    <row r="10" spans="1:7" ht="15" customHeight="1" x14ac:dyDescent="0.3">
      <c r="A10" s="10">
        <v>9</v>
      </c>
      <c r="B10" s="10" t="s">
        <v>8</v>
      </c>
      <c r="C10" s="10" t="s">
        <v>35</v>
      </c>
      <c r="D10" s="10" t="s">
        <v>54</v>
      </c>
      <c r="E10" s="10" t="s">
        <v>52</v>
      </c>
      <c r="F10" s="10" t="s">
        <v>55</v>
      </c>
      <c r="G10" s="10" t="s">
        <v>4</v>
      </c>
    </row>
    <row r="11" spans="1:7" ht="15" customHeight="1" x14ac:dyDescent="0.3">
      <c r="A11" s="10">
        <v>10</v>
      </c>
      <c r="B11" s="10" t="s">
        <v>8</v>
      </c>
      <c r="C11" s="10" t="s">
        <v>35</v>
      </c>
      <c r="D11" s="10" t="s">
        <v>56</v>
      </c>
      <c r="E11" s="10" t="s">
        <v>57</v>
      </c>
      <c r="F11" s="10" t="s">
        <v>58</v>
      </c>
      <c r="G11" s="10" t="s">
        <v>4</v>
      </c>
    </row>
    <row r="12" spans="1:7" ht="15" customHeight="1" x14ac:dyDescent="0.3">
      <c r="A12" s="10">
        <v>11</v>
      </c>
      <c r="B12" s="10" t="s">
        <v>8</v>
      </c>
      <c r="C12" s="10" t="s">
        <v>35</v>
      </c>
      <c r="D12" s="10" t="s">
        <v>59</v>
      </c>
      <c r="E12" s="10" t="s">
        <v>52</v>
      </c>
      <c r="F12" s="10" t="s">
        <v>60</v>
      </c>
      <c r="G12" s="10" t="s">
        <v>4</v>
      </c>
    </row>
    <row r="13" spans="1:7" ht="15" customHeight="1" x14ac:dyDescent="0.3">
      <c r="A13" s="10">
        <v>12</v>
      </c>
      <c r="B13" s="10" t="s">
        <v>8</v>
      </c>
      <c r="C13" s="10" t="s">
        <v>61</v>
      </c>
      <c r="D13" s="10" t="s">
        <v>49</v>
      </c>
      <c r="E13" s="10" t="s">
        <v>62</v>
      </c>
      <c r="F13" s="10" t="s">
        <v>63</v>
      </c>
      <c r="G13" s="10" t="s">
        <v>4</v>
      </c>
    </row>
    <row r="14" spans="1:7" ht="15" customHeight="1" x14ac:dyDescent="0.3">
      <c r="A14" s="10">
        <v>13</v>
      </c>
      <c r="B14" s="10" t="s">
        <v>8</v>
      </c>
      <c r="C14" s="10" t="s">
        <v>61</v>
      </c>
      <c r="D14" s="10" t="s">
        <v>49</v>
      </c>
      <c r="E14" s="10" t="s">
        <v>64</v>
      </c>
      <c r="F14" s="10" t="s">
        <v>65</v>
      </c>
      <c r="G14" s="10" t="s">
        <v>4</v>
      </c>
    </row>
    <row r="15" spans="1:7" ht="15" customHeight="1" x14ac:dyDescent="0.3">
      <c r="A15" s="10">
        <v>14</v>
      </c>
      <c r="B15" s="10" t="s">
        <v>8</v>
      </c>
      <c r="C15" s="10" t="s">
        <v>61</v>
      </c>
      <c r="D15" s="10" t="s">
        <v>49</v>
      </c>
      <c r="E15" s="10" t="s">
        <v>66</v>
      </c>
      <c r="F15" s="10" t="s">
        <v>67</v>
      </c>
      <c r="G15" s="10" t="s">
        <v>4</v>
      </c>
    </row>
    <row r="16" spans="1:7" ht="15" customHeight="1" x14ac:dyDescent="0.3">
      <c r="A16" s="10">
        <v>15</v>
      </c>
      <c r="B16" s="10" t="s">
        <v>8</v>
      </c>
      <c r="C16" s="10" t="s">
        <v>61</v>
      </c>
      <c r="D16" s="10" t="s">
        <v>49</v>
      </c>
      <c r="E16" s="10" t="s">
        <v>68</v>
      </c>
      <c r="F16" s="10" t="s">
        <v>69</v>
      </c>
      <c r="G16" s="10" t="s">
        <v>4</v>
      </c>
    </row>
    <row r="17" spans="1:7" ht="15" customHeight="1" x14ac:dyDescent="0.3">
      <c r="A17" s="10">
        <v>16</v>
      </c>
      <c r="B17" s="10" t="s">
        <v>8</v>
      </c>
      <c r="C17" s="10" t="s">
        <v>61</v>
      </c>
      <c r="D17" s="10" t="s">
        <v>49</v>
      </c>
      <c r="E17" s="10" t="s">
        <v>70</v>
      </c>
      <c r="F17" s="10" t="s">
        <v>71</v>
      </c>
      <c r="G17" s="10" t="s">
        <v>4</v>
      </c>
    </row>
    <row r="18" spans="1:7" ht="15" customHeight="1" x14ac:dyDescent="0.3">
      <c r="A18" s="10">
        <v>17</v>
      </c>
      <c r="B18" s="10" t="s">
        <v>8</v>
      </c>
      <c r="C18" s="10" t="s">
        <v>61</v>
      </c>
      <c r="D18" s="10" t="s">
        <v>49</v>
      </c>
      <c r="E18" s="10" t="s">
        <v>72</v>
      </c>
      <c r="F18" s="10" t="s">
        <v>73</v>
      </c>
      <c r="G18" s="10" t="s">
        <v>4</v>
      </c>
    </row>
    <row r="19" spans="1:7" ht="23.25" customHeight="1" x14ac:dyDescent="0.3">
      <c r="A19" s="10">
        <v>18</v>
      </c>
      <c r="B19" s="10" t="s">
        <v>8</v>
      </c>
      <c r="C19" s="10" t="s">
        <v>74</v>
      </c>
      <c r="D19" s="10" t="s">
        <v>49</v>
      </c>
      <c r="E19" s="10" t="s">
        <v>75</v>
      </c>
      <c r="F19" s="10" t="s">
        <v>76</v>
      </c>
      <c r="G19" s="10" t="s">
        <v>4</v>
      </c>
    </row>
    <row r="20" spans="1:7" ht="15" customHeight="1" x14ac:dyDescent="0.3">
      <c r="A20" s="10">
        <v>19</v>
      </c>
      <c r="B20" s="10" t="s">
        <v>8</v>
      </c>
      <c r="C20" s="10" t="s">
        <v>74</v>
      </c>
      <c r="D20" s="10" t="s">
        <v>49</v>
      </c>
      <c r="E20" s="10" t="s">
        <v>77</v>
      </c>
      <c r="F20" s="10" t="s">
        <v>78</v>
      </c>
      <c r="G20" s="10" t="s">
        <v>4</v>
      </c>
    </row>
    <row r="21" spans="1:7" ht="15" customHeight="1" x14ac:dyDescent="0.3">
      <c r="A21" s="10">
        <v>20</v>
      </c>
      <c r="B21" s="10" t="s">
        <v>8</v>
      </c>
      <c r="C21" s="10" t="s">
        <v>74</v>
      </c>
      <c r="D21" s="10" t="s">
        <v>49</v>
      </c>
      <c r="E21" s="10" t="s">
        <v>79</v>
      </c>
      <c r="F21" s="10" t="s">
        <v>80</v>
      </c>
      <c r="G21" s="10" t="s">
        <v>4</v>
      </c>
    </row>
    <row r="22" spans="1:7" ht="15" customHeight="1" x14ac:dyDescent="0.3">
      <c r="A22" s="10">
        <v>21</v>
      </c>
      <c r="B22" s="10" t="s">
        <v>8</v>
      </c>
      <c r="C22" s="10" t="s">
        <v>74</v>
      </c>
      <c r="D22" s="10" t="s">
        <v>49</v>
      </c>
      <c r="E22" s="10" t="s">
        <v>81</v>
      </c>
      <c r="F22" s="10" t="s">
        <v>82</v>
      </c>
      <c r="G22" s="10" t="s">
        <v>4</v>
      </c>
    </row>
    <row r="23" spans="1:7" ht="15" customHeight="1" x14ac:dyDescent="0.3">
      <c r="A23" s="10">
        <v>22</v>
      </c>
      <c r="B23" s="10" t="s">
        <v>8</v>
      </c>
      <c r="C23" s="10" t="s">
        <v>74</v>
      </c>
      <c r="D23" s="10" t="s">
        <v>49</v>
      </c>
      <c r="E23" s="10" t="s">
        <v>83</v>
      </c>
      <c r="F23" s="10" t="s">
        <v>84</v>
      </c>
      <c r="G23" s="10" t="s">
        <v>4</v>
      </c>
    </row>
    <row r="24" spans="1:7" ht="15" customHeight="1" x14ac:dyDescent="0.3">
      <c r="A24" s="10">
        <v>23</v>
      </c>
      <c r="B24" s="10" t="s">
        <v>8</v>
      </c>
      <c r="C24" s="10" t="s">
        <v>74</v>
      </c>
      <c r="D24" s="10" t="s">
        <v>49</v>
      </c>
      <c r="E24" s="10" t="s">
        <v>85</v>
      </c>
      <c r="F24" s="10" t="s">
        <v>86</v>
      </c>
      <c r="G24" s="10" t="s">
        <v>4</v>
      </c>
    </row>
    <row r="25" spans="1:7" ht="15" customHeight="1" x14ac:dyDescent="0.3">
      <c r="A25" s="10">
        <v>24</v>
      </c>
      <c r="B25" s="10" t="s">
        <v>8</v>
      </c>
      <c r="C25" s="10" t="s">
        <v>74</v>
      </c>
      <c r="D25" s="10" t="s">
        <v>49</v>
      </c>
      <c r="E25" s="10" t="s">
        <v>87</v>
      </c>
      <c r="F25" s="10" t="s">
        <v>88</v>
      </c>
      <c r="G25" s="10" t="s">
        <v>4</v>
      </c>
    </row>
    <row r="26" spans="1:7" ht="15" customHeight="1" x14ac:dyDescent="0.3">
      <c r="A26" s="10">
        <v>25</v>
      </c>
      <c r="B26" s="10" t="s">
        <v>8</v>
      </c>
      <c r="C26" s="10" t="s">
        <v>74</v>
      </c>
      <c r="D26" s="10" t="s">
        <v>49</v>
      </c>
      <c r="E26" s="10" t="s">
        <v>89</v>
      </c>
      <c r="F26" s="10" t="s">
        <v>90</v>
      </c>
      <c r="G26" s="10" t="s">
        <v>4</v>
      </c>
    </row>
    <row r="27" spans="1:7" ht="15" customHeight="1" x14ac:dyDescent="0.3">
      <c r="A27" s="10">
        <v>26</v>
      </c>
      <c r="B27" s="10" t="s">
        <v>8</v>
      </c>
      <c r="C27" s="10" t="s">
        <v>74</v>
      </c>
      <c r="D27" s="10" t="s">
        <v>49</v>
      </c>
      <c r="E27" s="10" t="s">
        <v>91</v>
      </c>
      <c r="F27" s="10" t="s">
        <v>92</v>
      </c>
      <c r="G27" s="10" t="s">
        <v>4</v>
      </c>
    </row>
    <row r="28" spans="1:7" ht="15" customHeight="1" x14ac:dyDescent="0.3">
      <c r="A28" s="10">
        <v>27</v>
      </c>
      <c r="B28" s="10" t="s">
        <v>8</v>
      </c>
      <c r="C28" s="10" t="s">
        <v>74</v>
      </c>
      <c r="D28" s="10" t="s">
        <v>49</v>
      </c>
      <c r="E28" s="10" t="s">
        <v>93</v>
      </c>
      <c r="F28" s="10" t="s">
        <v>94</v>
      </c>
      <c r="G28" s="10" t="s">
        <v>4</v>
      </c>
    </row>
    <row r="29" spans="1:7" ht="15" customHeight="1" x14ac:dyDescent="0.3">
      <c r="A29" s="10">
        <v>28</v>
      </c>
      <c r="B29" s="10" t="s">
        <v>8</v>
      </c>
      <c r="C29" s="10" t="s">
        <v>95</v>
      </c>
      <c r="D29" s="10" t="s">
        <v>49</v>
      </c>
      <c r="E29" s="10" t="s">
        <v>96</v>
      </c>
      <c r="F29" s="10" t="s">
        <v>97</v>
      </c>
      <c r="G29" s="10" t="s">
        <v>4</v>
      </c>
    </row>
    <row r="30" spans="1:7" ht="15" customHeight="1" x14ac:dyDescent="0.3">
      <c r="A30" s="10">
        <v>29</v>
      </c>
      <c r="B30" s="10" t="s">
        <v>8</v>
      </c>
      <c r="C30" s="10" t="s">
        <v>95</v>
      </c>
      <c r="D30" s="10" t="s">
        <v>36</v>
      </c>
      <c r="E30" s="10" t="s">
        <v>98</v>
      </c>
      <c r="F30" s="10" t="s">
        <v>99</v>
      </c>
      <c r="G30" s="10" t="s">
        <v>4</v>
      </c>
    </row>
    <row r="31" spans="1:7" ht="15" customHeight="1" x14ac:dyDescent="0.3">
      <c r="A31" s="10">
        <v>30</v>
      </c>
      <c r="B31" s="10" t="s">
        <v>8</v>
      </c>
      <c r="C31" s="10" t="s">
        <v>95</v>
      </c>
      <c r="D31" s="10" t="s">
        <v>54</v>
      </c>
      <c r="E31" s="10" t="s">
        <v>100</v>
      </c>
      <c r="F31" s="10" t="s">
        <v>101</v>
      </c>
      <c r="G31" s="10" t="s">
        <v>4</v>
      </c>
    </row>
    <row r="32" spans="1:7" ht="15" customHeight="1" x14ac:dyDescent="0.3">
      <c r="A32" s="10">
        <v>31</v>
      </c>
      <c r="B32" s="10" t="s">
        <v>8</v>
      </c>
      <c r="C32" s="10" t="s">
        <v>95</v>
      </c>
      <c r="D32" s="10" t="s">
        <v>59</v>
      </c>
      <c r="E32" s="10" t="s">
        <v>100</v>
      </c>
      <c r="F32" s="10" t="s">
        <v>102</v>
      </c>
      <c r="G32" s="10" t="s">
        <v>4</v>
      </c>
    </row>
    <row r="33" spans="1:7" ht="15" customHeight="1" x14ac:dyDescent="0.3">
      <c r="A33" s="10">
        <v>32</v>
      </c>
      <c r="B33" s="10" t="s">
        <v>8</v>
      </c>
      <c r="C33" s="10" t="s">
        <v>95</v>
      </c>
      <c r="D33" s="10" t="s">
        <v>59</v>
      </c>
      <c r="E33" s="10" t="s">
        <v>96</v>
      </c>
      <c r="F33" s="10" t="s">
        <v>103</v>
      </c>
      <c r="G33" s="10" t="s">
        <v>4</v>
      </c>
    </row>
    <row r="34" spans="1:7" ht="15" customHeight="1" x14ac:dyDescent="0.3">
      <c r="A34" s="10">
        <v>33</v>
      </c>
      <c r="B34" s="10" t="s">
        <v>8</v>
      </c>
      <c r="C34" s="10" t="s">
        <v>95</v>
      </c>
      <c r="D34" s="10" t="s">
        <v>36</v>
      </c>
      <c r="E34" s="10" t="s">
        <v>104</v>
      </c>
      <c r="F34" s="10" t="s">
        <v>105</v>
      </c>
      <c r="G34" s="10" t="s">
        <v>4</v>
      </c>
    </row>
    <row r="35" spans="1:7" ht="15" customHeight="1" x14ac:dyDescent="0.3">
      <c r="A35" s="10">
        <v>34</v>
      </c>
      <c r="B35" s="10" t="s">
        <v>8</v>
      </c>
      <c r="C35" s="10" t="s">
        <v>95</v>
      </c>
      <c r="D35" s="10" t="s">
        <v>59</v>
      </c>
      <c r="E35" s="10" t="s">
        <v>106</v>
      </c>
      <c r="F35" s="10" t="s">
        <v>107</v>
      </c>
      <c r="G35" s="10" t="s">
        <v>4</v>
      </c>
    </row>
    <row r="36" spans="1:7" ht="15" customHeight="1" x14ac:dyDescent="0.3">
      <c r="A36" s="10">
        <v>35</v>
      </c>
      <c r="B36" s="10" t="s">
        <v>8</v>
      </c>
      <c r="C36" s="10" t="s">
        <v>108</v>
      </c>
      <c r="D36" s="10" t="s">
        <v>36</v>
      </c>
      <c r="E36" s="10" t="s">
        <v>109</v>
      </c>
      <c r="F36" s="10" t="s">
        <v>110</v>
      </c>
      <c r="G36" s="10" t="s">
        <v>4</v>
      </c>
    </row>
    <row r="37" spans="1:7" ht="15" customHeight="1" x14ac:dyDescent="0.3">
      <c r="A37" s="10">
        <v>36</v>
      </c>
      <c r="B37" s="10" t="s">
        <v>8</v>
      </c>
      <c r="C37" s="10" t="s">
        <v>108</v>
      </c>
      <c r="D37" s="10" t="s">
        <v>49</v>
      </c>
      <c r="E37" s="10" t="s">
        <v>109</v>
      </c>
      <c r="F37" s="10" t="s">
        <v>111</v>
      </c>
      <c r="G37" s="10" t="s">
        <v>4</v>
      </c>
    </row>
    <row r="38" spans="1:7" ht="15" customHeight="1" x14ac:dyDescent="0.3">
      <c r="A38" s="10">
        <v>37</v>
      </c>
      <c r="B38" s="10" t="s">
        <v>8</v>
      </c>
      <c r="C38" s="10" t="s">
        <v>108</v>
      </c>
      <c r="D38" s="10" t="s">
        <v>49</v>
      </c>
      <c r="E38" s="10" t="s">
        <v>112</v>
      </c>
      <c r="F38" s="10" t="s">
        <v>113</v>
      </c>
      <c r="G38" s="10" t="s">
        <v>4</v>
      </c>
    </row>
    <row r="39" spans="1:7" ht="15" customHeight="1" x14ac:dyDescent="0.3">
      <c r="A39" s="10">
        <v>38</v>
      </c>
      <c r="B39" s="10" t="s">
        <v>8</v>
      </c>
      <c r="C39" s="10" t="s">
        <v>108</v>
      </c>
      <c r="D39" s="10" t="s">
        <v>49</v>
      </c>
      <c r="E39" s="10" t="s">
        <v>114</v>
      </c>
      <c r="F39" s="10" t="s">
        <v>115</v>
      </c>
      <c r="G39" s="10" t="s">
        <v>4</v>
      </c>
    </row>
    <row r="40" spans="1:7" ht="15" customHeight="1" x14ac:dyDescent="0.3">
      <c r="A40" s="10">
        <v>39</v>
      </c>
      <c r="B40" s="10" t="s">
        <v>8</v>
      </c>
      <c r="C40" s="10" t="s">
        <v>108</v>
      </c>
      <c r="D40" s="10" t="s">
        <v>56</v>
      </c>
      <c r="E40" s="10" t="s">
        <v>116</v>
      </c>
      <c r="F40" s="10" t="s">
        <v>117</v>
      </c>
      <c r="G40" s="10" t="s">
        <v>4</v>
      </c>
    </row>
    <row r="41" spans="1:7" ht="15" customHeight="1" x14ac:dyDescent="0.3">
      <c r="A41" s="10">
        <v>40</v>
      </c>
      <c r="B41" s="10" t="s">
        <v>8</v>
      </c>
      <c r="C41" s="10" t="s">
        <v>108</v>
      </c>
      <c r="D41" s="10" t="s">
        <v>56</v>
      </c>
      <c r="E41" s="10" t="s">
        <v>118</v>
      </c>
      <c r="F41" s="10" t="s">
        <v>119</v>
      </c>
      <c r="G41" s="10" t="s">
        <v>4</v>
      </c>
    </row>
    <row r="42" spans="1:7" ht="15" customHeight="1" x14ac:dyDescent="0.3">
      <c r="A42" s="10">
        <v>41</v>
      </c>
      <c r="B42" s="10" t="s">
        <v>8</v>
      </c>
      <c r="C42" s="10" t="s">
        <v>108</v>
      </c>
      <c r="D42" s="10" t="s">
        <v>36</v>
      </c>
      <c r="E42" s="10" t="s">
        <v>120</v>
      </c>
      <c r="F42" s="10" t="s">
        <v>121</v>
      </c>
      <c r="G42" s="10" t="s">
        <v>4</v>
      </c>
    </row>
    <row r="43" spans="1:7" ht="15" customHeight="1" x14ac:dyDescent="0.3">
      <c r="A43" s="10">
        <v>42</v>
      </c>
      <c r="B43" s="10" t="s">
        <v>8</v>
      </c>
      <c r="C43" s="10" t="s">
        <v>108</v>
      </c>
      <c r="D43" s="10" t="s">
        <v>49</v>
      </c>
      <c r="E43" s="10" t="s">
        <v>122</v>
      </c>
      <c r="F43" s="10" t="s">
        <v>123</v>
      </c>
      <c r="G43" s="10" t="s">
        <v>4</v>
      </c>
    </row>
    <row r="44" spans="1:7" ht="15" customHeight="1" x14ac:dyDescent="0.3">
      <c r="A44" s="10">
        <v>43</v>
      </c>
      <c r="B44" s="10" t="s">
        <v>8</v>
      </c>
      <c r="C44" s="10" t="s">
        <v>108</v>
      </c>
      <c r="D44" s="10" t="s">
        <v>49</v>
      </c>
      <c r="E44" s="10" t="s">
        <v>124</v>
      </c>
      <c r="F44" s="10" t="s">
        <v>125</v>
      </c>
      <c r="G44" s="10" t="s">
        <v>4</v>
      </c>
    </row>
    <row r="45" spans="1:7" ht="15" customHeight="1" x14ac:dyDescent="0.3">
      <c r="A45" s="10">
        <v>44</v>
      </c>
      <c r="B45" s="10" t="s">
        <v>8</v>
      </c>
      <c r="C45" s="10" t="s">
        <v>126</v>
      </c>
      <c r="D45" s="10" t="s">
        <v>36</v>
      </c>
      <c r="E45" s="10" t="s">
        <v>127</v>
      </c>
      <c r="F45" s="10" t="s">
        <v>128</v>
      </c>
      <c r="G45" s="10" t="s">
        <v>4</v>
      </c>
    </row>
    <row r="46" spans="1:7" ht="15" customHeight="1" x14ac:dyDescent="0.3">
      <c r="A46" s="10">
        <v>45</v>
      </c>
      <c r="B46" s="10" t="s">
        <v>8</v>
      </c>
      <c r="C46" s="10" t="s">
        <v>126</v>
      </c>
      <c r="D46" s="10" t="s">
        <v>36</v>
      </c>
      <c r="E46" s="10" t="s">
        <v>129</v>
      </c>
      <c r="F46" s="10" t="s">
        <v>130</v>
      </c>
      <c r="G46" s="10" t="s">
        <v>4</v>
      </c>
    </row>
    <row r="47" spans="1:7" ht="15" customHeight="1" x14ac:dyDescent="0.3">
      <c r="A47" s="10">
        <v>46</v>
      </c>
      <c r="B47" s="10" t="s">
        <v>8</v>
      </c>
      <c r="C47" s="10" t="s">
        <v>126</v>
      </c>
      <c r="D47" s="10" t="s">
        <v>36</v>
      </c>
      <c r="E47" s="10" t="s">
        <v>131</v>
      </c>
      <c r="F47" s="10" t="s">
        <v>132</v>
      </c>
      <c r="G47" s="10" t="s">
        <v>4</v>
      </c>
    </row>
    <row r="48" spans="1:7" ht="15" customHeight="1" x14ac:dyDescent="0.3">
      <c r="A48" s="10">
        <v>47</v>
      </c>
      <c r="B48" s="10" t="s">
        <v>8</v>
      </c>
      <c r="C48" s="10" t="s">
        <v>126</v>
      </c>
      <c r="D48" s="10" t="s">
        <v>49</v>
      </c>
      <c r="E48" s="10" t="s">
        <v>133</v>
      </c>
      <c r="F48" s="10" t="s">
        <v>134</v>
      </c>
      <c r="G48" s="10" t="s">
        <v>4</v>
      </c>
    </row>
    <row r="49" spans="1:7" ht="15" customHeight="1" x14ac:dyDescent="0.3">
      <c r="A49" s="10">
        <v>48</v>
      </c>
      <c r="B49" s="10" t="s">
        <v>8</v>
      </c>
      <c r="C49" s="10" t="s">
        <v>126</v>
      </c>
      <c r="D49" s="10" t="s">
        <v>49</v>
      </c>
      <c r="E49" s="10" t="s">
        <v>135</v>
      </c>
      <c r="F49" s="10" t="s">
        <v>136</v>
      </c>
      <c r="G49" s="10" t="s">
        <v>4</v>
      </c>
    </row>
    <row r="50" spans="1:7" ht="15" customHeight="1" x14ac:dyDescent="0.3">
      <c r="A50" s="10">
        <v>49</v>
      </c>
      <c r="B50" s="10" t="s">
        <v>8</v>
      </c>
      <c r="C50" s="10" t="s">
        <v>126</v>
      </c>
      <c r="D50" s="10" t="s">
        <v>49</v>
      </c>
      <c r="E50" s="10" t="s">
        <v>137</v>
      </c>
      <c r="F50" s="10" t="s">
        <v>138</v>
      </c>
      <c r="G50" s="10" t="s">
        <v>4</v>
      </c>
    </row>
    <row r="51" spans="1:7" ht="15" customHeight="1" x14ac:dyDescent="0.3">
      <c r="A51" s="10">
        <v>50</v>
      </c>
      <c r="B51" s="10" t="s">
        <v>8</v>
      </c>
      <c r="C51" s="10" t="s">
        <v>139</v>
      </c>
      <c r="D51" s="10" t="s">
        <v>36</v>
      </c>
      <c r="E51" s="10" t="s">
        <v>93</v>
      </c>
      <c r="F51" s="10" t="s">
        <v>140</v>
      </c>
      <c r="G51" s="10" t="s">
        <v>4</v>
      </c>
    </row>
    <row r="52" spans="1:7" ht="15" customHeight="1" x14ac:dyDescent="0.3">
      <c r="A52" s="10">
        <v>51</v>
      </c>
      <c r="B52" s="10" t="s">
        <v>8</v>
      </c>
      <c r="C52" s="10" t="s">
        <v>139</v>
      </c>
      <c r="D52" s="10" t="s">
        <v>54</v>
      </c>
      <c r="E52" s="10" t="s">
        <v>141</v>
      </c>
      <c r="F52" s="10" t="s">
        <v>142</v>
      </c>
      <c r="G52" s="10" t="s">
        <v>4</v>
      </c>
    </row>
    <row r="53" spans="1:7" ht="15" customHeight="1" x14ac:dyDescent="0.3">
      <c r="A53" s="10">
        <v>52</v>
      </c>
      <c r="B53" s="10" t="s">
        <v>8</v>
      </c>
      <c r="C53" s="10" t="s">
        <v>139</v>
      </c>
      <c r="D53" s="10" t="s">
        <v>59</v>
      </c>
      <c r="E53" s="10" t="s">
        <v>141</v>
      </c>
      <c r="F53" s="10" t="s">
        <v>143</v>
      </c>
      <c r="G53" s="10" t="s">
        <v>4</v>
      </c>
    </row>
    <row r="54" spans="1:7" ht="15" customHeight="1" x14ac:dyDescent="0.3">
      <c r="A54" s="10">
        <v>53</v>
      </c>
      <c r="B54" s="10" t="s">
        <v>8</v>
      </c>
      <c r="C54" s="10" t="s">
        <v>139</v>
      </c>
      <c r="D54" s="10" t="s">
        <v>36</v>
      </c>
      <c r="E54" s="10" t="s">
        <v>144</v>
      </c>
      <c r="F54" s="10" t="s">
        <v>145</v>
      </c>
      <c r="G54" s="10" t="s">
        <v>4</v>
      </c>
    </row>
    <row r="55" spans="1:7" ht="15" customHeight="1" x14ac:dyDescent="0.3">
      <c r="A55" s="10">
        <v>54</v>
      </c>
      <c r="B55" s="10" t="s">
        <v>8</v>
      </c>
      <c r="C55" s="10" t="s">
        <v>139</v>
      </c>
      <c r="D55" s="10" t="s">
        <v>36</v>
      </c>
      <c r="E55" s="10" t="s">
        <v>146</v>
      </c>
      <c r="F55" s="10" t="s">
        <v>147</v>
      </c>
      <c r="G55" s="10" t="s">
        <v>4</v>
      </c>
    </row>
    <row r="56" spans="1:7" ht="15" customHeight="1" x14ac:dyDescent="0.3">
      <c r="A56" s="10">
        <v>55</v>
      </c>
      <c r="B56" s="10" t="s">
        <v>8</v>
      </c>
      <c r="C56" s="10" t="s">
        <v>139</v>
      </c>
      <c r="D56" s="10" t="s">
        <v>49</v>
      </c>
      <c r="E56" s="10" t="s">
        <v>148</v>
      </c>
      <c r="F56" s="10" t="s">
        <v>149</v>
      </c>
      <c r="G56" s="10" t="s">
        <v>4</v>
      </c>
    </row>
    <row r="57" spans="1:7" ht="15" customHeight="1" x14ac:dyDescent="0.3">
      <c r="A57" s="10">
        <v>56</v>
      </c>
      <c r="B57" s="10" t="s">
        <v>8</v>
      </c>
      <c r="C57" s="10" t="s">
        <v>150</v>
      </c>
      <c r="D57" s="10" t="s">
        <v>49</v>
      </c>
      <c r="E57" s="10" t="s">
        <v>151</v>
      </c>
      <c r="F57" s="10" t="s">
        <v>152</v>
      </c>
      <c r="G57" s="10" t="s">
        <v>4</v>
      </c>
    </row>
    <row r="58" spans="1:7" ht="15" customHeight="1" x14ac:dyDescent="0.3">
      <c r="A58" s="10">
        <v>57</v>
      </c>
      <c r="B58" s="10" t="s">
        <v>8</v>
      </c>
      <c r="C58" s="10" t="s">
        <v>150</v>
      </c>
      <c r="D58" s="10" t="s">
        <v>36</v>
      </c>
      <c r="E58" s="10" t="s">
        <v>153</v>
      </c>
      <c r="F58" s="10" t="s">
        <v>154</v>
      </c>
      <c r="G58" s="10" t="s">
        <v>4</v>
      </c>
    </row>
    <row r="59" spans="1:7" ht="15" customHeight="1" x14ac:dyDescent="0.3">
      <c r="A59" s="10">
        <v>58</v>
      </c>
      <c r="B59" s="10" t="s">
        <v>8</v>
      </c>
      <c r="C59" s="10" t="s">
        <v>150</v>
      </c>
      <c r="D59" s="10" t="s">
        <v>59</v>
      </c>
      <c r="E59" s="10" t="s">
        <v>153</v>
      </c>
      <c r="F59" s="10" t="s">
        <v>155</v>
      </c>
      <c r="G59" s="10" t="s">
        <v>4</v>
      </c>
    </row>
    <row r="60" spans="1:7" ht="15" customHeight="1" x14ac:dyDescent="0.3">
      <c r="A60" s="10">
        <v>59</v>
      </c>
      <c r="B60" s="10" t="s">
        <v>8</v>
      </c>
      <c r="C60" s="10" t="s">
        <v>156</v>
      </c>
      <c r="D60" s="10" t="s">
        <v>49</v>
      </c>
      <c r="E60" s="10" t="s">
        <v>157</v>
      </c>
      <c r="F60" s="10" t="s">
        <v>158</v>
      </c>
      <c r="G60" s="10" t="s">
        <v>4</v>
      </c>
    </row>
    <row r="61" spans="1:7" ht="15" customHeight="1" x14ac:dyDescent="0.3">
      <c r="A61" s="10">
        <v>60</v>
      </c>
      <c r="B61" s="10" t="s">
        <v>8</v>
      </c>
      <c r="C61" s="10" t="s">
        <v>156</v>
      </c>
      <c r="D61" s="10" t="s">
        <v>56</v>
      </c>
      <c r="E61" s="10" t="s">
        <v>159</v>
      </c>
      <c r="F61" s="10" t="s">
        <v>160</v>
      </c>
      <c r="G61" s="10" t="s">
        <v>4</v>
      </c>
    </row>
    <row r="62" spans="1:7" ht="15" customHeight="1" x14ac:dyDescent="0.3">
      <c r="A62" s="10">
        <v>61</v>
      </c>
      <c r="B62" s="10" t="s">
        <v>8</v>
      </c>
      <c r="C62" s="10" t="s">
        <v>156</v>
      </c>
      <c r="D62" s="10" t="s">
        <v>56</v>
      </c>
      <c r="E62" s="10" t="s">
        <v>161</v>
      </c>
      <c r="F62" s="10" t="s">
        <v>162</v>
      </c>
      <c r="G62" s="10" t="s">
        <v>4</v>
      </c>
    </row>
    <row r="63" spans="1:7" ht="15" customHeight="1" x14ac:dyDescent="0.3">
      <c r="A63" s="10">
        <v>62</v>
      </c>
      <c r="B63" s="10" t="s">
        <v>8</v>
      </c>
      <c r="C63" s="10" t="s">
        <v>156</v>
      </c>
      <c r="D63" s="10" t="s">
        <v>49</v>
      </c>
      <c r="E63" s="10" t="s">
        <v>163</v>
      </c>
      <c r="F63" s="10" t="s">
        <v>164</v>
      </c>
      <c r="G63" s="10" t="s">
        <v>4</v>
      </c>
    </row>
    <row r="64" spans="1:7" ht="15" customHeight="1" x14ac:dyDescent="0.3">
      <c r="A64" s="10">
        <v>63</v>
      </c>
      <c r="B64" s="10" t="s">
        <v>8</v>
      </c>
      <c r="C64" s="10" t="s">
        <v>156</v>
      </c>
      <c r="D64" s="10" t="s">
        <v>54</v>
      </c>
      <c r="E64" s="10" t="s">
        <v>163</v>
      </c>
      <c r="F64" s="10" t="s">
        <v>165</v>
      </c>
      <c r="G64" s="10" t="s">
        <v>4</v>
      </c>
    </row>
    <row r="65" spans="1:7" ht="15" customHeight="1" x14ac:dyDescent="0.3">
      <c r="A65" s="10">
        <v>64</v>
      </c>
      <c r="B65" s="10" t="s">
        <v>9</v>
      </c>
      <c r="C65" s="10" t="s">
        <v>166</v>
      </c>
      <c r="D65" s="10" t="s">
        <v>36</v>
      </c>
      <c r="E65" s="10" t="s">
        <v>167</v>
      </c>
      <c r="F65" s="10" t="s">
        <v>168</v>
      </c>
      <c r="G65" s="10" t="s">
        <v>4</v>
      </c>
    </row>
    <row r="66" spans="1:7" ht="15" customHeight="1" x14ac:dyDescent="0.3">
      <c r="A66" s="10">
        <v>65</v>
      </c>
      <c r="B66" s="10" t="s">
        <v>9</v>
      </c>
      <c r="C66" s="10" t="s">
        <v>166</v>
      </c>
      <c r="D66" s="10" t="s">
        <v>49</v>
      </c>
      <c r="E66" s="10" t="s">
        <v>169</v>
      </c>
      <c r="F66" s="10" t="s">
        <v>170</v>
      </c>
      <c r="G66" s="10" t="s">
        <v>4</v>
      </c>
    </row>
    <row r="67" spans="1:7" ht="15" customHeight="1" x14ac:dyDescent="0.3">
      <c r="A67" s="10">
        <v>66</v>
      </c>
      <c r="B67" s="10" t="s">
        <v>9</v>
      </c>
      <c r="C67" s="10" t="s">
        <v>166</v>
      </c>
      <c r="D67" s="10" t="s">
        <v>54</v>
      </c>
      <c r="E67" s="10" t="s">
        <v>169</v>
      </c>
      <c r="F67" s="10" t="s">
        <v>171</v>
      </c>
      <c r="G67" s="10" t="s">
        <v>4</v>
      </c>
    </row>
    <row r="68" spans="1:7" ht="15" customHeight="1" x14ac:dyDescent="0.3">
      <c r="A68" s="10">
        <v>67</v>
      </c>
      <c r="B68" s="10" t="s">
        <v>9</v>
      </c>
      <c r="C68" s="10" t="s">
        <v>172</v>
      </c>
      <c r="D68" s="10" t="s">
        <v>36</v>
      </c>
      <c r="E68" s="10" t="s">
        <v>173</v>
      </c>
      <c r="F68" s="10" t="s">
        <v>174</v>
      </c>
      <c r="G68" s="10" t="s">
        <v>4</v>
      </c>
    </row>
    <row r="69" spans="1:7" ht="15" customHeight="1" x14ac:dyDescent="0.3">
      <c r="A69" s="10">
        <v>68</v>
      </c>
      <c r="B69" s="10" t="s">
        <v>9</v>
      </c>
      <c r="C69" s="10" t="s">
        <v>172</v>
      </c>
      <c r="D69" s="10" t="s">
        <v>54</v>
      </c>
      <c r="E69" s="10" t="s">
        <v>175</v>
      </c>
      <c r="F69" s="10" t="s">
        <v>176</v>
      </c>
      <c r="G69" s="10" t="s">
        <v>4</v>
      </c>
    </row>
    <row r="70" spans="1:7" ht="15" customHeight="1" x14ac:dyDescent="0.3">
      <c r="A70" s="10">
        <v>69</v>
      </c>
      <c r="B70" s="10" t="s">
        <v>9</v>
      </c>
      <c r="C70" s="10" t="s">
        <v>172</v>
      </c>
      <c r="D70" s="10" t="s">
        <v>56</v>
      </c>
      <c r="E70" s="10" t="s">
        <v>177</v>
      </c>
      <c r="F70" s="10" t="s">
        <v>178</v>
      </c>
      <c r="G70" s="10" t="s">
        <v>4</v>
      </c>
    </row>
    <row r="71" spans="1:7" ht="15" customHeight="1" x14ac:dyDescent="0.3">
      <c r="A71" s="10">
        <v>70</v>
      </c>
      <c r="B71" s="10" t="s">
        <v>9</v>
      </c>
      <c r="C71" s="10" t="s">
        <v>172</v>
      </c>
      <c r="D71" s="10" t="s">
        <v>59</v>
      </c>
      <c r="E71" s="10" t="s">
        <v>175</v>
      </c>
      <c r="F71" s="10" t="s">
        <v>179</v>
      </c>
      <c r="G71" s="10" t="s">
        <v>4</v>
      </c>
    </row>
    <row r="72" spans="1:7" ht="15" customHeight="1" x14ac:dyDescent="0.3">
      <c r="A72" s="10">
        <v>71</v>
      </c>
      <c r="B72" s="10" t="s">
        <v>9</v>
      </c>
      <c r="C72" s="10" t="s">
        <v>172</v>
      </c>
      <c r="D72" s="10" t="s">
        <v>49</v>
      </c>
      <c r="E72" s="10" t="s">
        <v>173</v>
      </c>
      <c r="F72" s="10" t="s">
        <v>180</v>
      </c>
      <c r="G72" s="10" t="s">
        <v>4</v>
      </c>
    </row>
    <row r="73" spans="1:7" ht="15" customHeight="1" x14ac:dyDescent="0.3">
      <c r="A73" s="10">
        <v>72</v>
      </c>
      <c r="B73" s="10" t="s">
        <v>9</v>
      </c>
      <c r="C73" s="10" t="s">
        <v>172</v>
      </c>
      <c r="D73" s="10" t="s">
        <v>36</v>
      </c>
      <c r="E73" s="10" t="s">
        <v>181</v>
      </c>
      <c r="F73" s="10" t="s">
        <v>182</v>
      </c>
      <c r="G73" s="10" t="s">
        <v>4</v>
      </c>
    </row>
    <row r="74" spans="1:7" ht="15" customHeight="1" x14ac:dyDescent="0.3">
      <c r="A74" s="10">
        <v>73</v>
      </c>
      <c r="B74" s="10" t="s">
        <v>9</v>
      </c>
      <c r="C74" s="10" t="s">
        <v>172</v>
      </c>
      <c r="D74" s="10" t="s">
        <v>59</v>
      </c>
      <c r="E74" s="10" t="s">
        <v>183</v>
      </c>
      <c r="F74" s="10" t="s">
        <v>184</v>
      </c>
      <c r="G74" s="10" t="s">
        <v>4</v>
      </c>
    </row>
    <row r="75" spans="1:7" ht="15" customHeight="1" x14ac:dyDescent="0.3">
      <c r="A75" s="10">
        <v>74</v>
      </c>
      <c r="B75" s="10" t="s">
        <v>9</v>
      </c>
      <c r="C75" s="10" t="s">
        <v>185</v>
      </c>
      <c r="D75" s="10" t="s">
        <v>36</v>
      </c>
      <c r="E75" s="10" t="s">
        <v>186</v>
      </c>
      <c r="F75" s="10" t="s">
        <v>187</v>
      </c>
      <c r="G75" s="10" t="s">
        <v>4</v>
      </c>
    </row>
    <row r="76" spans="1:7" ht="15" customHeight="1" x14ac:dyDescent="0.3">
      <c r="A76" s="10">
        <v>75</v>
      </c>
      <c r="B76" s="10" t="s">
        <v>9</v>
      </c>
      <c r="C76" s="10" t="s">
        <v>185</v>
      </c>
      <c r="D76" s="10" t="s">
        <v>36</v>
      </c>
      <c r="E76" s="10" t="s">
        <v>188</v>
      </c>
      <c r="F76" s="10" t="s">
        <v>189</v>
      </c>
      <c r="G76" s="10" t="s">
        <v>4</v>
      </c>
    </row>
    <row r="77" spans="1:7" ht="15" customHeight="1" x14ac:dyDescent="0.3">
      <c r="A77" s="10">
        <v>76</v>
      </c>
      <c r="B77" s="10" t="s">
        <v>9</v>
      </c>
      <c r="C77" s="10" t="s">
        <v>185</v>
      </c>
      <c r="D77" s="10" t="s">
        <v>54</v>
      </c>
      <c r="E77" s="10" t="s">
        <v>190</v>
      </c>
      <c r="F77" s="10" t="s">
        <v>191</v>
      </c>
      <c r="G77" s="10" t="s">
        <v>4</v>
      </c>
    </row>
    <row r="78" spans="1:7" ht="15" customHeight="1" x14ac:dyDescent="0.3">
      <c r="A78" s="10">
        <v>77</v>
      </c>
      <c r="B78" s="10" t="s">
        <v>9</v>
      </c>
      <c r="C78" s="10" t="s">
        <v>185</v>
      </c>
      <c r="D78" s="10" t="s">
        <v>59</v>
      </c>
      <c r="E78" s="10" t="s">
        <v>190</v>
      </c>
      <c r="F78" s="10" t="s">
        <v>192</v>
      </c>
      <c r="G78" s="10" t="s">
        <v>4</v>
      </c>
    </row>
    <row r="79" spans="1:7" ht="15" customHeight="1" x14ac:dyDescent="0.3">
      <c r="A79" s="10">
        <v>78</v>
      </c>
      <c r="B79" s="10" t="s">
        <v>9</v>
      </c>
      <c r="C79" s="10" t="s">
        <v>185</v>
      </c>
      <c r="D79" s="10" t="s">
        <v>36</v>
      </c>
      <c r="E79" s="10" t="s">
        <v>193</v>
      </c>
      <c r="F79" s="10" t="s">
        <v>194</v>
      </c>
      <c r="G79" s="10" t="s">
        <v>4</v>
      </c>
    </row>
    <row r="80" spans="1:7" ht="15" customHeight="1" x14ac:dyDescent="0.3">
      <c r="A80" s="10">
        <v>79</v>
      </c>
      <c r="B80" s="10" t="s">
        <v>9</v>
      </c>
      <c r="C80" s="10" t="s">
        <v>108</v>
      </c>
      <c r="D80" s="10" t="s">
        <v>49</v>
      </c>
      <c r="E80" s="10" t="s">
        <v>195</v>
      </c>
      <c r="F80" s="10" t="s">
        <v>196</v>
      </c>
      <c r="G80" s="10" t="s">
        <v>4</v>
      </c>
    </row>
    <row r="81" spans="1:7" ht="15" customHeight="1" x14ac:dyDescent="0.3">
      <c r="A81" s="10">
        <v>80</v>
      </c>
      <c r="B81" s="10" t="s">
        <v>9</v>
      </c>
      <c r="C81" s="10" t="s">
        <v>108</v>
      </c>
      <c r="D81" s="10" t="s">
        <v>49</v>
      </c>
      <c r="E81" s="10" t="s">
        <v>197</v>
      </c>
      <c r="F81" s="10" t="s">
        <v>113</v>
      </c>
      <c r="G81" s="10" t="s">
        <v>4</v>
      </c>
    </row>
    <row r="82" spans="1:7" ht="15" customHeight="1" x14ac:dyDescent="0.3">
      <c r="A82" s="10">
        <v>81</v>
      </c>
      <c r="B82" s="10" t="s">
        <v>9</v>
      </c>
      <c r="C82" s="10" t="s">
        <v>108</v>
      </c>
      <c r="D82" s="10" t="s">
        <v>56</v>
      </c>
      <c r="E82" s="10" t="s">
        <v>198</v>
      </c>
      <c r="F82" s="10" t="s">
        <v>199</v>
      </c>
      <c r="G82" s="10" t="s">
        <v>4</v>
      </c>
    </row>
    <row r="83" spans="1:7" ht="15" customHeight="1" x14ac:dyDescent="0.3">
      <c r="A83" s="10">
        <v>82</v>
      </c>
      <c r="B83" s="10" t="s">
        <v>9</v>
      </c>
      <c r="C83" s="10" t="s">
        <v>108</v>
      </c>
      <c r="D83" s="10" t="s">
        <v>56</v>
      </c>
      <c r="E83" s="10" t="s">
        <v>200</v>
      </c>
      <c r="F83" s="10" t="s">
        <v>201</v>
      </c>
      <c r="G83" s="10" t="s">
        <v>4</v>
      </c>
    </row>
    <row r="84" spans="1:7" ht="15" customHeight="1" x14ac:dyDescent="0.3">
      <c r="A84" s="10">
        <v>83</v>
      </c>
      <c r="B84" s="10" t="s">
        <v>9</v>
      </c>
      <c r="C84" s="10" t="s">
        <v>108</v>
      </c>
      <c r="D84" s="10" t="s">
        <v>56</v>
      </c>
      <c r="E84" s="10" t="s">
        <v>202</v>
      </c>
      <c r="F84" s="10" t="s">
        <v>203</v>
      </c>
      <c r="G84" s="10" t="s">
        <v>4</v>
      </c>
    </row>
    <row r="85" spans="1:7" ht="15" customHeight="1" x14ac:dyDescent="0.3">
      <c r="A85" s="10">
        <v>84</v>
      </c>
      <c r="B85" s="10" t="s">
        <v>9</v>
      </c>
      <c r="C85" s="10" t="s">
        <v>108</v>
      </c>
      <c r="D85" s="10" t="s">
        <v>56</v>
      </c>
      <c r="E85" s="10" t="s">
        <v>204</v>
      </c>
      <c r="F85" s="10" t="s">
        <v>205</v>
      </c>
      <c r="G85" s="10" t="s">
        <v>4</v>
      </c>
    </row>
    <row r="86" spans="1:7" ht="15" customHeight="1" x14ac:dyDescent="0.3">
      <c r="A86" s="10">
        <v>85</v>
      </c>
      <c r="B86" s="10" t="s">
        <v>9</v>
      </c>
      <c r="C86" s="10" t="s">
        <v>206</v>
      </c>
      <c r="D86" s="10" t="s">
        <v>49</v>
      </c>
      <c r="E86" s="10" t="s">
        <v>207</v>
      </c>
      <c r="F86" s="10" t="s">
        <v>208</v>
      </c>
      <c r="G86" s="10" t="s">
        <v>4</v>
      </c>
    </row>
    <row r="87" spans="1:7" ht="15" customHeight="1" x14ac:dyDescent="0.3">
      <c r="A87" s="10">
        <v>86</v>
      </c>
      <c r="B87" s="10" t="s">
        <v>9</v>
      </c>
      <c r="C87" s="10" t="s">
        <v>206</v>
      </c>
      <c r="D87" s="10" t="s">
        <v>49</v>
      </c>
      <c r="E87" s="10" t="s">
        <v>209</v>
      </c>
      <c r="F87" s="10" t="s">
        <v>210</v>
      </c>
      <c r="G87" s="10" t="s">
        <v>4</v>
      </c>
    </row>
    <row r="88" spans="1:7" ht="15" customHeight="1" x14ac:dyDescent="0.3">
      <c r="A88" s="10">
        <v>87</v>
      </c>
      <c r="B88" s="10" t="s">
        <v>9</v>
      </c>
      <c r="C88" s="10" t="s">
        <v>206</v>
      </c>
      <c r="D88" s="10" t="s">
        <v>49</v>
      </c>
      <c r="E88" s="10" t="s">
        <v>211</v>
      </c>
      <c r="F88" s="10" t="s">
        <v>212</v>
      </c>
      <c r="G88" s="10" t="s">
        <v>4</v>
      </c>
    </row>
    <row r="89" spans="1:7" ht="15" customHeight="1" x14ac:dyDescent="0.3">
      <c r="A89" s="10">
        <v>88</v>
      </c>
      <c r="B89" s="10" t="s">
        <v>9</v>
      </c>
      <c r="C89" s="10" t="s">
        <v>206</v>
      </c>
      <c r="D89" s="10" t="s">
        <v>36</v>
      </c>
      <c r="E89" s="10" t="s">
        <v>213</v>
      </c>
      <c r="F89" s="10" t="s">
        <v>214</v>
      </c>
      <c r="G89" s="10" t="s">
        <v>4</v>
      </c>
    </row>
    <row r="90" spans="1:7" ht="15" customHeight="1" x14ac:dyDescent="0.3">
      <c r="A90" s="10">
        <v>89</v>
      </c>
      <c r="B90" s="10" t="s">
        <v>9</v>
      </c>
      <c r="C90" s="10" t="s">
        <v>206</v>
      </c>
      <c r="D90" s="10" t="s">
        <v>49</v>
      </c>
      <c r="E90" s="10" t="s">
        <v>215</v>
      </c>
      <c r="F90" s="10" t="s">
        <v>216</v>
      </c>
      <c r="G90" s="10" t="s">
        <v>4</v>
      </c>
    </row>
    <row r="91" spans="1:7" ht="15" customHeight="1" x14ac:dyDescent="0.3">
      <c r="A91" s="10">
        <v>90</v>
      </c>
      <c r="B91" s="10" t="s">
        <v>10</v>
      </c>
      <c r="C91" s="10" t="s">
        <v>217</v>
      </c>
      <c r="D91" s="10" t="s">
        <v>49</v>
      </c>
      <c r="E91" s="10" t="s">
        <v>218</v>
      </c>
      <c r="F91" s="10" t="s">
        <v>219</v>
      </c>
      <c r="G91" s="10" t="s">
        <v>4</v>
      </c>
    </row>
    <row r="92" spans="1:7" ht="15" customHeight="1" x14ac:dyDescent="0.3">
      <c r="A92" s="10">
        <v>91</v>
      </c>
      <c r="B92" s="10" t="s">
        <v>10</v>
      </c>
      <c r="C92" s="10" t="s">
        <v>217</v>
      </c>
      <c r="D92" s="10" t="s">
        <v>56</v>
      </c>
      <c r="E92" s="10" t="s">
        <v>220</v>
      </c>
      <c r="F92" s="10" t="s">
        <v>221</v>
      </c>
      <c r="G92" s="10" t="s">
        <v>4</v>
      </c>
    </row>
    <row r="93" spans="1:7" ht="15" customHeight="1" x14ac:dyDescent="0.3">
      <c r="A93" s="10">
        <v>92</v>
      </c>
      <c r="B93" s="10" t="s">
        <v>10</v>
      </c>
      <c r="C93" s="10" t="s">
        <v>217</v>
      </c>
      <c r="D93" s="10" t="s">
        <v>56</v>
      </c>
      <c r="E93" s="10" t="s">
        <v>222</v>
      </c>
      <c r="F93" s="10" t="s">
        <v>223</v>
      </c>
      <c r="G93" s="10" t="s">
        <v>4</v>
      </c>
    </row>
    <row r="94" spans="1:7" ht="15" customHeight="1" x14ac:dyDescent="0.3">
      <c r="A94" s="10">
        <v>93</v>
      </c>
      <c r="B94" s="10" t="s">
        <v>10</v>
      </c>
      <c r="C94" s="10" t="s">
        <v>224</v>
      </c>
      <c r="D94" s="10" t="s">
        <v>49</v>
      </c>
      <c r="E94" s="10" t="s">
        <v>225</v>
      </c>
      <c r="F94" s="10" t="s">
        <v>226</v>
      </c>
      <c r="G94" s="10" t="s">
        <v>4</v>
      </c>
    </row>
    <row r="95" spans="1:7" ht="15" customHeight="1" x14ac:dyDescent="0.3">
      <c r="A95" s="10">
        <v>94</v>
      </c>
      <c r="B95" s="10" t="s">
        <v>10</v>
      </c>
      <c r="C95" s="10" t="s">
        <v>224</v>
      </c>
      <c r="D95" s="10" t="s">
        <v>56</v>
      </c>
      <c r="E95" s="10" t="s">
        <v>227</v>
      </c>
      <c r="F95" s="10" t="s">
        <v>228</v>
      </c>
      <c r="G95" s="10" t="s">
        <v>4</v>
      </c>
    </row>
    <row r="96" spans="1:7" ht="15" customHeight="1" x14ac:dyDescent="0.3">
      <c r="A96" s="10">
        <v>95</v>
      </c>
      <c r="B96" s="10" t="s">
        <v>10</v>
      </c>
      <c r="C96" s="10" t="s">
        <v>224</v>
      </c>
      <c r="D96" s="10" t="s">
        <v>56</v>
      </c>
      <c r="E96" s="10" t="s">
        <v>229</v>
      </c>
      <c r="F96" s="10" t="s">
        <v>230</v>
      </c>
      <c r="G96" s="10" t="s">
        <v>4</v>
      </c>
    </row>
    <row r="97" spans="1:7" ht="15" customHeight="1" x14ac:dyDescent="0.3">
      <c r="A97" s="10">
        <v>96</v>
      </c>
      <c r="B97" s="10" t="s">
        <v>10</v>
      </c>
      <c r="C97" s="10" t="s">
        <v>231</v>
      </c>
      <c r="D97" s="10" t="s">
        <v>49</v>
      </c>
      <c r="E97" s="10" t="s">
        <v>232</v>
      </c>
      <c r="F97" s="10" t="s">
        <v>233</v>
      </c>
      <c r="G97" s="10" t="s">
        <v>4</v>
      </c>
    </row>
    <row r="98" spans="1:7" ht="15" customHeight="1" x14ac:dyDescent="0.3">
      <c r="A98" s="10">
        <v>97</v>
      </c>
      <c r="B98" s="10" t="s">
        <v>10</v>
      </c>
      <c r="C98" s="10" t="s">
        <v>231</v>
      </c>
      <c r="D98" s="10" t="s">
        <v>56</v>
      </c>
      <c r="E98" s="10" t="s">
        <v>234</v>
      </c>
      <c r="F98" s="10" t="s">
        <v>235</v>
      </c>
      <c r="G98" s="10" t="s">
        <v>4</v>
      </c>
    </row>
    <row r="99" spans="1:7" ht="15" customHeight="1" x14ac:dyDescent="0.3">
      <c r="A99" s="10">
        <v>98</v>
      </c>
      <c r="B99" s="10" t="s">
        <v>10</v>
      </c>
      <c r="C99" s="10" t="s">
        <v>231</v>
      </c>
      <c r="D99" s="10" t="s">
        <v>56</v>
      </c>
      <c r="E99" s="10" t="s">
        <v>236</v>
      </c>
      <c r="F99" s="10" t="s">
        <v>237</v>
      </c>
      <c r="G99" s="10" t="s">
        <v>4</v>
      </c>
    </row>
    <row r="100" spans="1:7" ht="15" customHeight="1" x14ac:dyDescent="0.3">
      <c r="A100" s="10">
        <v>99</v>
      </c>
      <c r="B100" s="10" t="s">
        <v>10</v>
      </c>
      <c r="C100" s="10" t="s">
        <v>231</v>
      </c>
      <c r="D100" s="10" t="s">
        <v>56</v>
      </c>
      <c r="E100" s="10" t="s">
        <v>238</v>
      </c>
      <c r="F100" s="10" t="s">
        <v>239</v>
      </c>
      <c r="G100" s="10" t="s">
        <v>4</v>
      </c>
    </row>
    <row r="101" spans="1:7" ht="15" customHeight="1" x14ac:dyDescent="0.3">
      <c r="A101" s="10">
        <v>100</v>
      </c>
      <c r="B101" s="17" t="s">
        <v>10</v>
      </c>
      <c r="C101" s="17" t="s">
        <v>240</v>
      </c>
      <c r="D101" s="17" t="s">
        <v>49</v>
      </c>
      <c r="E101" s="17" t="s">
        <v>241</v>
      </c>
      <c r="F101" s="17" t="s">
        <v>242</v>
      </c>
      <c r="G101" s="17" t="s">
        <v>6</v>
      </c>
    </row>
    <row r="102" spans="1:7" ht="15" customHeight="1" x14ac:dyDescent="0.3">
      <c r="A102" s="10">
        <v>101</v>
      </c>
      <c r="B102" s="17" t="s">
        <v>10</v>
      </c>
      <c r="C102" s="17" t="s">
        <v>240</v>
      </c>
      <c r="D102" s="17" t="s">
        <v>49</v>
      </c>
      <c r="E102" s="17" t="s">
        <v>243</v>
      </c>
      <c r="F102" s="17" t="s">
        <v>244</v>
      </c>
      <c r="G102" s="17" t="s">
        <v>6</v>
      </c>
    </row>
    <row r="103" spans="1:7" ht="15" customHeight="1" x14ac:dyDescent="0.3">
      <c r="A103" s="10">
        <v>102</v>
      </c>
      <c r="B103" s="17" t="s">
        <v>10</v>
      </c>
      <c r="C103" s="17" t="s">
        <v>240</v>
      </c>
      <c r="D103" s="17" t="s">
        <v>36</v>
      </c>
      <c r="E103" s="17" t="s">
        <v>241</v>
      </c>
      <c r="F103" s="17" t="s">
        <v>245</v>
      </c>
      <c r="G103" s="17" t="s">
        <v>6</v>
      </c>
    </row>
    <row r="104" spans="1:7" ht="15" customHeight="1" x14ac:dyDescent="0.3">
      <c r="A104" s="10">
        <v>103</v>
      </c>
      <c r="B104" s="17" t="s">
        <v>10</v>
      </c>
      <c r="C104" s="17" t="s">
        <v>240</v>
      </c>
      <c r="D104" s="17" t="s">
        <v>54</v>
      </c>
      <c r="E104" s="17" t="s">
        <v>243</v>
      </c>
      <c r="F104" s="17" t="s">
        <v>246</v>
      </c>
      <c r="G104" s="17" t="s">
        <v>6</v>
      </c>
    </row>
    <row r="105" spans="1:7" ht="15" customHeight="1" x14ac:dyDescent="0.3">
      <c r="A105" s="10">
        <v>104</v>
      </c>
      <c r="B105" s="17" t="s">
        <v>10</v>
      </c>
      <c r="C105" s="17" t="s">
        <v>240</v>
      </c>
      <c r="D105" s="17" t="s">
        <v>59</v>
      </c>
      <c r="E105" s="17" t="s">
        <v>243</v>
      </c>
      <c r="F105" s="17" t="s">
        <v>247</v>
      </c>
      <c r="G105" s="17" t="s">
        <v>6</v>
      </c>
    </row>
    <row r="106" spans="1:7" ht="15" customHeight="1" x14ac:dyDescent="0.3">
      <c r="A106" s="10">
        <v>105</v>
      </c>
      <c r="B106" s="10" t="s">
        <v>10</v>
      </c>
      <c r="C106" s="10" t="s">
        <v>248</v>
      </c>
      <c r="D106" s="10" t="s">
        <v>49</v>
      </c>
      <c r="E106" s="10" t="s">
        <v>249</v>
      </c>
      <c r="F106" s="10" t="s">
        <v>250</v>
      </c>
      <c r="G106" s="10" t="s">
        <v>4</v>
      </c>
    </row>
    <row r="107" spans="1:7" ht="15" customHeight="1" x14ac:dyDescent="0.3">
      <c r="A107" s="10">
        <v>106</v>
      </c>
      <c r="B107" s="10" t="s">
        <v>10</v>
      </c>
      <c r="C107" s="10" t="s">
        <v>248</v>
      </c>
      <c r="D107" s="10" t="s">
        <v>49</v>
      </c>
      <c r="E107" s="10" t="s">
        <v>251</v>
      </c>
      <c r="F107" s="10" t="s">
        <v>252</v>
      </c>
      <c r="G107" s="10" t="s">
        <v>4</v>
      </c>
    </row>
    <row r="108" spans="1:7" ht="15" customHeight="1" x14ac:dyDescent="0.3">
      <c r="A108" s="10">
        <v>107</v>
      </c>
      <c r="B108" s="10" t="s">
        <v>10</v>
      </c>
      <c r="C108" s="10" t="s">
        <v>248</v>
      </c>
      <c r="D108" s="10" t="s">
        <v>36</v>
      </c>
      <c r="E108" s="10" t="s">
        <v>249</v>
      </c>
      <c r="F108" s="10" t="s">
        <v>253</v>
      </c>
      <c r="G108" s="10" t="s">
        <v>4</v>
      </c>
    </row>
    <row r="109" spans="1:7" ht="15" customHeight="1" x14ac:dyDescent="0.3">
      <c r="A109" s="10">
        <v>108</v>
      </c>
      <c r="B109" s="10" t="s">
        <v>10</v>
      </c>
      <c r="C109" s="10" t="s">
        <v>248</v>
      </c>
      <c r="D109" s="10" t="s">
        <v>54</v>
      </c>
      <c r="E109" s="10" t="s">
        <v>251</v>
      </c>
      <c r="F109" s="10" t="s">
        <v>254</v>
      </c>
      <c r="G109" s="10" t="s">
        <v>4</v>
      </c>
    </row>
    <row r="110" spans="1:7" ht="15" customHeight="1" x14ac:dyDescent="0.3">
      <c r="A110" s="10">
        <v>109</v>
      </c>
      <c r="B110" s="10" t="s">
        <v>10</v>
      </c>
      <c r="C110" s="10" t="s">
        <v>248</v>
      </c>
      <c r="D110" s="10" t="s">
        <v>59</v>
      </c>
      <c r="E110" s="10" t="s">
        <v>251</v>
      </c>
      <c r="F110" s="10" t="s">
        <v>255</v>
      </c>
      <c r="G110" s="10" t="s">
        <v>4</v>
      </c>
    </row>
    <row r="111" spans="1:7" ht="15" customHeight="1" x14ac:dyDescent="0.3">
      <c r="A111" s="10">
        <v>110</v>
      </c>
      <c r="B111" s="10" t="s">
        <v>10</v>
      </c>
      <c r="C111" s="10" t="s">
        <v>256</v>
      </c>
      <c r="D111" s="10" t="s">
        <v>49</v>
      </c>
      <c r="E111" s="10" t="s">
        <v>257</v>
      </c>
      <c r="F111" s="10" t="s">
        <v>258</v>
      </c>
      <c r="G111" s="10" t="s">
        <v>4</v>
      </c>
    </row>
    <row r="112" spans="1:7" ht="15" customHeight="1" x14ac:dyDescent="0.3">
      <c r="A112" s="10">
        <v>111</v>
      </c>
      <c r="B112" s="10" t="s">
        <v>10</v>
      </c>
      <c r="C112" s="10" t="s">
        <v>256</v>
      </c>
      <c r="D112" s="10" t="s">
        <v>49</v>
      </c>
      <c r="E112" s="10" t="s">
        <v>259</v>
      </c>
      <c r="F112" s="10" t="s">
        <v>260</v>
      </c>
      <c r="G112" s="10" t="s">
        <v>4</v>
      </c>
    </row>
    <row r="113" spans="1:7" ht="15" customHeight="1" x14ac:dyDescent="0.3">
      <c r="A113" s="10">
        <v>112</v>
      </c>
      <c r="B113" s="10" t="s">
        <v>10</v>
      </c>
      <c r="C113" s="10" t="s">
        <v>256</v>
      </c>
      <c r="D113" s="10" t="s">
        <v>36</v>
      </c>
      <c r="E113" s="10" t="s">
        <v>257</v>
      </c>
      <c r="F113" s="10" t="s">
        <v>261</v>
      </c>
      <c r="G113" s="10" t="s">
        <v>4</v>
      </c>
    </row>
    <row r="114" spans="1:7" ht="15" customHeight="1" x14ac:dyDescent="0.3">
      <c r="A114" s="10">
        <v>113</v>
      </c>
      <c r="B114" s="10" t="s">
        <v>10</v>
      </c>
      <c r="C114" s="10" t="s">
        <v>256</v>
      </c>
      <c r="D114" s="10" t="s">
        <v>54</v>
      </c>
      <c r="E114" s="10" t="s">
        <v>259</v>
      </c>
      <c r="F114" s="10" t="s">
        <v>262</v>
      </c>
      <c r="G114" s="10" t="s">
        <v>4</v>
      </c>
    </row>
    <row r="115" spans="1:7" ht="15" customHeight="1" x14ac:dyDescent="0.3">
      <c r="A115" s="10">
        <v>114</v>
      </c>
      <c r="B115" s="10" t="s">
        <v>10</v>
      </c>
      <c r="C115" s="10" t="s">
        <v>256</v>
      </c>
      <c r="D115" s="10" t="s">
        <v>59</v>
      </c>
      <c r="E115" s="10" t="s">
        <v>259</v>
      </c>
      <c r="F115" s="10" t="s">
        <v>263</v>
      </c>
      <c r="G115" s="10" t="s">
        <v>4</v>
      </c>
    </row>
    <row r="116" spans="1:7" ht="15" customHeight="1" x14ac:dyDescent="0.3">
      <c r="A116" s="10">
        <v>115</v>
      </c>
      <c r="B116" s="10" t="s">
        <v>10</v>
      </c>
      <c r="C116" s="10" t="s">
        <v>264</v>
      </c>
      <c r="D116" s="10" t="s">
        <v>49</v>
      </c>
      <c r="E116" s="10" t="s">
        <v>265</v>
      </c>
      <c r="F116" s="10" t="s">
        <v>266</v>
      </c>
      <c r="G116" s="10" t="s">
        <v>4</v>
      </c>
    </row>
    <row r="117" spans="1:7" ht="15" customHeight="1" x14ac:dyDescent="0.3">
      <c r="A117" s="10">
        <v>116</v>
      </c>
      <c r="B117" s="10" t="s">
        <v>10</v>
      </c>
      <c r="C117" s="10" t="s">
        <v>264</v>
      </c>
      <c r="D117" s="10" t="s">
        <v>49</v>
      </c>
      <c r="E117" s="10" t="s">
        <v>267</v>
      </c>
      <c r="F117" s="10" t="s">
        <v>268</v>
      </c>
      <c r="G117" s="10" t="s">
        <v>4</v>
      </c>
    </row>
    <row r="118" spans="1:7" ht="15" customHeight="1" x14ac:dyDescent="0.3">
      <c r="A118" s="10">
        <v>117</v>
      </c>
      <c r="B118" s="10" t="s">
        <v>10</v>
      </c>
      <c r="C118" s="10" t="s">
        <v>264</v>
      </c>
      <c r="D118" s="10" t="s">
        <v>36</v>
      </c>
      <c r="E118" s="10" t="s">
        <v>265</v>
      </c>
      <c r="F118" s="10" t="s">
        <v>269</v>
      </c>
      <c r="G118" s="10" t="s">
        <v>4</v>
      </c>
    </row>
    <row r="119" spans="1:7" ht="15" customHeight="1" x14ac:dyDescent="0.3">
      <c r="A119" s="10">
        <v>118</v>
      </c>
      <c r="B119" s="10" t="s">
        <v>10</v>
      </c>
      <c r="C119" s="10" t="s">
        <v>264</v>
      </c>
      <c r="D119" s="10" t="s">
        <v>54</v>
      </c>
      <c r="E119" s="10" t="s">
        <v>267</v>
      </c>
      <c r="F119" s="10" t="s">
        <v>270</v>
      </c>
      <c r="G119" s="10" t="s">
        <v>4</v>
      </c>
    </row>
    <row r="120" spans="1:7" ht="15" customHeight="1" x14ac:dyDescent="0.3">
      <c r="A120" s="10">
        <v>119</v>
      </c>
      <c r="B120" s="10" t="s">
        <v>10</v>
      </c>
      <c r="C120" s="10" t="s">
        <v>264</v>
      </c>
      <c r="D120" s="10" t="s">
        <v>59</v>
      </c>
      <c r="E120" s="10" t="s">
        <v>267</v>
      </c>
      <c r="F120" s="10" t="s">
        <v>271</v>
      </c>
      <c r="G120" s="10" t="s">
        <v>4</v>
      </c>
    </row>
    <row r="121" spans="1:7" ht="15" customHeight="1" x14ac:dyDescent="0.3">
      <c r="A121" s="10">
        <v>120</v>
      </c>
      <c r="B121" s="10" t="s">
        <v>10</v>
      </c>
      <c r="C121" s="10" t="s">
        <v>272</v>
      </c>
      <c r="D121" s="10" t="s">
        <v>49</v>
      </c>
      <c r="E121" s="10" t="s">
        <v>273</v>
      </c>
      <c r="F121" s="10" t="s">
        <v>274</v>
      </c>
      <c r="G121" s="10" t="s">
        <v>4</v>
      </c>
    </row>
    <row r="122" spans="1:7" ht="15" customHeight="1" x14ac:dyDescent="0.3">
      <c r="A122" s="10">
        <v>121</v>
      </c>
      <c r="B122" s="10" t="s">
        <v>10</v>
      </c>
      <c r="C122" s="10" t="s">
        <v>272</v>
      </c>
      <c r="D122" s="10" t="s">
        <v>56</v>
      </c>
      <c r="E122" s="10" t="s">
        <v>275</v>
      </c>
      <c r="F122" s="10" t="s">
        <v>276</v>
      </c>
      <c r="G122" s="10" t="s">
        <v>4</v>
      </c>
    </row>
    <row r="123" spans="1:7" ht="15" customHeight="1" x14ac:dyDescent="0.3">
      <c r="A123" s="10">
        <v>122</v>
      </c>
      <c r="B123" s="10" t="s">
        <v>10</v>
      </c>
      <c r="C123" s="10" t="s">
        <v>272</v>
      </c>
      <c r="D123" s="10" t="s">
        <v>49</v>
      </c>
      <c r="E123" s="10" t="s">
        <v>277</v>
      </c>
      <c r="F123" s="10" t="s">
        <v>278</v>
      </c>
      <c r="G123" s="10" t="s">
        <v>4</v>
      </c>
    </row>
    <row r="124" spans="1:7" ht="15" customHeight="1" x14ac:dyDescent="0.3">
      <c r="A124" s="10">
        <v>123</v>
      </c>
      <c r="B124" s="10" t="s">
        <v>10</v>
      </c>
      <c r="C124" s="10" t="s">
        <v>272</v>
      </c>
      <c r="D124" s="10" t="s">
        <v>36</v>
      </c>
      <c r="E124" s="10" t="s">
        <v>279</v>
      </c>
      <c r="F124" s="10" t="s">
        <v>280</v>
      </c>
      <c r="G124" s="10" t="s">
        <v>4</v>
      </c>
    </row>
    <row r="125" spans="1:7" ht="15" customHeight="1" x14ac:dyDescent="0.3">
      <c r="A125" s="10">
        <v>124</v>
      </c>
      <c r="B125" s="10" t="s">
        <v>10</v>
      </c>
      <c r="C125" s="10" t="s">
        <v>139</v>
      </c>
      <c r="D125" s="10" t="s">
        <v>49</v>
      </c>
      <c r="E125" s="10" t="s">
        <v>281</v>
      </c>
      <c r="F125" s="10" t="s">
        <v>282</v>
      </c>
      <c r="G125" s="10" t="s">
        <v>4</v>
      </c>
    </row>
    <row r="126" spans="1:7" ht="15" customHeight="1" x14ac:dyDescent="0.3">
      <c r="A126" s="10">
        <v>125</v>
      </c>
      <c r="B126" s="10" t="s">
        <v>10</v>
      </c>
      <c r="C126" s="10" t="s">
        <v>139</v>
      </c>
      <c r="D126" s="10" t="s">
        <v>59</v>
      </c>
      <c r="E126" s="10" t="s">
        <v>283</v>
      </c>
      <c r="F126" s="10" t="s">
        <v>284</v>
      </c>
      <c r="G126" s="10" t="s">
        <v>4</v>
      </c>
    </row>
    <row r="127" spans="1:7" ht="15" customHeight="1" x14ac:dyDescent="0.3">
      <c r="A127" s="10">
        <v>126</v>
      </c>
      <c r="B127" s="10" t="s">
        <v>10</v>
      </c>
      <c r="C127" s="10" t="s">
        <v>285</v>
      </c>
      <c r="D127" s="10" t="s">
        <v>49</v>
      </c>
      <c r="E127" s="10" t="s">
        <v>286</v>
      </c>
      <c r="F127" s="10" t="s">
        <v>287</v>
      </c>
      <c r="G127" s="10" t="s">
        <v>4</v>
      </c>
    </row>
    <row r="128" spans="1:7" ht="15" customHeight="1" x14ac:dyDescent="0.3">
      <c r="A128" s="10">
        <v>127</v>
      </c>
      <c r="B128" s="10" t="s">
        <v>10</v>
      </c>
      <c r="C128" s="10" t="s">
        <v>285</v>
      </c>
      <c r="D128" s="10" t="s">
        <v>49</v>
      </c>
      <c r="E128" s="10" t="s">
        <v>288</v>
      </c>
      <c r="F128" s="10" t="s">
        <v>289</v>
      </c>
      <c r="G128" s="10" t="s">
        <v>4</v>
      </c>
    </row>
    <row r="129" spans="1:7" ht="15" customHeight="1" x14ac:dyDescent="0.3">
      <c r="A129" s="10">
        <v>128</v>
      </c>
      <c r="B129" s="10" t="s">
        <v>10</v>
      </c>
      <c r="C129" s="10" t="s">
        <v>285</v>
      </c>
      <c r="D129" s="10" t="s">
        <v>49</v>
      </c>
      <c r="E129" s="10" t="s">
        <v>290</v>
      </c>
      <c r="F129" s="10" t="s">
        <v>291</v>
      </c>
      <c r="G129" s="10" t="s">
        <v>4</v>
      </c>
    </row>
    <row r="130" spans="1:7" ht="15" customHeight="1" x14ac:dyDescent="0.3">
      <c r="A130" s="10">
        <v>129</v>
      </c>
      <c r="B130" s="10" t="s">
        <v>10</v>
      </c>
      <c r="C130" s="10" t="s">
        <v>285</v>
      </c>
      <c r="D130" s="10" t="s">
        <v>49</v>
      </c>
      <c r="E130" s="10" t="s">
        <v>292</v>
      </c>
      <c r="F130" s="10" t="s">
        <v>293</v>
      </c>
      <c r="G130" s="10" t="s">
        <v>4</v>
      </c>
    </row>
  </sheetData>
  <autoFilter ref="A1:G130" xr:uid="{00000000-0009-0000-0000-000001000000}"/>
  <dataValidations count="1">
    <dataValidation type="list" sqref="G2:G130" xr:uid="{00000000-0002-0000-01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>
      <pane ySplit="1" topLeftCell="A17" activePane="bottomLeft" state="frozen"/>
      <selection pane="bottomLeft" activeCell="D20" sqref="D20"/>
    </sheetView>
  </sheetViews>
  <sheetFormatPr defaultColWidth="8.6640625" defaultRowHeight="14.4" x14ac:dyDescent="0.3"/>
  <cols>
    <col min="1" max="1" width="26" customWidth="1"/>
    <col min="2" max="2" width="28" customWidth="1"/>
    <col min="3" max="3" width="16" customWidth="1"/>
    <col min="4" max="4" width="70" customWidth="1"/>
    <col min="5" max="5" width="12" customWidth="1"/>
  </cols>
  <sheetData>
    <row r="1" spans="1:5" x14ac:dyDescent="0.3">
      <c r="A1" s="9" t="s">
        <v>294</v>
      </c>
      <c r="B1" s="9" t="s">
        <v>295</v>
      </c>
      <c r="C1" s="9" t="s">
        <v>2</v>
      </c>
      <c r="D1" s="9" t="s">
        <v>296</v>
      </c>
      <c r="E1" s="9" t="s">
        <v>297</v>
      </c>
    </row>
    <row r="2" spans="1:5" x14ac:dyDescent="0.3">
      <c r="A2" s="10" t="s">
        <v>298</v>
      </c>
      <c r="B2" s="10" t="s">
        <v>299</v>
      </c>
      <c r="C2" s="10" t="s">
        <v>35</v>
      </c>
      <c r="D2" s="10" t="s">
        <v>300</v>
      </c>
      <c r="E2" s="10">
        <f>COUNTIF('Entity Fields'!$A:$A,A2)</f>
        <v>16</v>
      </c>
    </row>
    <row r="3" spans="1:5" x14ac:dyDescent="0.3">
      <c r="A3" s="10" t="s">
        <v>301</v>
      </c>
      <c r="B3" s="10" t="s">
        <v>302</v>
      </c>
      <c r="C3" s="10" t="s">
        <v>35</v>
      </c>
      <c r="D3" s="10" t="s">
        <v>303</v>
      </c>
      <c r="E3" s="10">
        <f>COUNTIF('Entity Fields'!$A:$A,A3)</f>
        <v>7</v>
      </c>
    </row>
    <row r="4" spans="1:5" x14ac:dyDescent="0.3">
      <c r="A4" s="10" t="s">
        <v>304</v>
      </c>
      <c r="B4" s="10" t="s">
        <v>305</v>
      </c>
      <c r="C4" s="10" t="s">
        <v>35</v>
      </c>
      <c r="D4" s="10" t="s">
        <v>306</v>
      </c>
      <c r="E4" s="10">
        <f>COUNTIF('Entity Fields'!$A:$A,A4)</f>
        <v>7</v>
      </c>
    </row>
    <row r="5" spans="1:5" x14ac:dyDescent="0.3">
      <c r="A5" s="10" t="s">
        <v>307</v>
      </c>
      <c r="B5" s="10" t="s">
        <v>308</v>
      </c>
      <c r="C5" s="10" t="s">
        <v>35</v>
      </c>
      <c r="D5" s="10" t="s">
        <v>309</v>
      </c>
      <c r="E5" s="10">
        <f>COUNTIF('Entity Fields'!$A:$A,A5)</f>
        <v>19</v>
      </c>
    </row>
    <row r="6" spans="1:5" x14ac:dyDescent="0.3">
      <c r="A6" s="10" t="s">
        <v>310</v>
      </c>
      <c r="B6" s="10" t="s">
        <v>311</v>
      </c>
      <c r="C6" s="10" t="s">
        <v>312</v>
      </c>
      <c r="D6" s="10" t="s">
        <v>313</v>
      </c>
      <c r="E6" s="10">
        <f>COUNTIF('Entity Fields'!$A:$A,A6)</f>
        <v>14</v>
      </c>
    </row>
    <row r="7" spans="1:5" x14ac:dyDescent="0.3">
      <c r="A7" s="10" t="s">
        <v>314</v>
      </c>
      <c r="B7" s="10" t="s">
        <v>315</v>
      </c>
      <c r="C7" s="10" t="s">
        <v>312</v>
      </c>
      <c r="D7" s="10" t="s">
        <v>316</v>
      </c>
      <c r="E7" s="10">
        <f>COUNTIF('Entity Fields'!$A:$A,A7)</f>
        <v>10</v>
      </c>
    </row>
    <row r="8" spans="1:5" x14ac:dyDescent="0.3">
      <c r="A8" s="10" t="s">
        <v>317</v>
      </c>
      <c r="B8" s="10" t="s">
        <v>318</v>
      </c>
      <c r="C8" s="10" t="s">
        <v>312</v>
      </c>
      <c r="D8" s="10" t="s">
        <v>319</v>
      </c>
      <c r="E8" s="10">
        <f>COUNTIF('Entity Fields'!$A:$A,A8)</f>
        <v>4</v>
      </c>
    </row>
    <row r="9" spans="1:5" x14ac:dyDescent="0.3">
      <c r="A9" s="10" t="s">
        <v>320</v>
      </c>
      <c r="B9" s="10" t="s">
        <v>321</v>
      </c>
      <c r="C9" s="10" t="s">
        <v>312</v>
      </c>
      <c r="D9" s="10" t="s">
        <v>322</v>
      </c>
      <c r="E9" s="10">
        <f>COUNTIF('Entity Fields'!$A:$A,A9)</f>
        <v>31</v>
      </c>
    </row>
    <row r="10" spans="1:5" x14ac:dyDescent="0.3">
      <c r="A10" s="10" t="s">
        <v>323</v>
      </c>
      <c r="B10" s="10" t="s">
        <v>324</v>
      </c>
      <c r="C10" s="10" t="s">
        <v>312</v>
      </c>
      <c r="D10" s="10" t="s">
        <v>325</v>
      </c>
      <c r="E10" s="10">
        <f>COUNTIF('Entity Fields'!$A:$A,A10)</f>
        <v>2</v>
      </c>
    </row>
    <row r="11" spans="1:5" x14ac:dyDescent="0.3">
      <c r="A11" s="10" t="s">
        <v>326</v>
      </c>
      <c r="B11" s="10" t="s">
        <v>327</v>
      </c>
      <c r="C11" s="10" t="s">
        <v>312</v>
      </c>
      <c r="D11" s="10" t="s">
        <v>328</v>
      </c>
      <c r="E11" s="10">
        <f>COUNTIF('Entity Fields'!$A:$A,A11)</f>
        <v>2</v>
      </c>
    </row>
    <row r="12" spans="1:5" x14ac:dyDescent="0.3">
      <c r="A12" s="10" t="s">
        <v>329</v>
      </c>
      <c r="B12" s="10" t="s">
        <v>330</v>
      </c>
      <c r="C12" s="10" t="s">
        <v>312</v>
      </c>
      <c r="D12" s="10" t="s">
        <v>331</v>
      </c>
      <c r="E12" s="10">
        <f>COUNTIF('Entity Fields'!$A:$A,A12)</f>
        <v>2</v>
      </c>
    </row>
    <row r="13" spans="1:5" x14ac:dyDescent="0.3">
      <c r="A13" s="10" t="s">
        <v>332</v>
      </c>
      <c r="B13" s="10" t="s">
        <v>333</v>
      </c>
      <c r="C13" s="10" t="s">
        <v>312</v>
      </c>
      <c r="D13" s="10" t="s">
        <v>334</v>
      </c>
      <c r="E13" s="10">
        <f>COUNTIF('Entity Fields'!$A:$A,A13)</f>
        <v>8</v>
      </c>
    </row>
    <row r="14" spans="1:5" x14ac:dyDescent="0.3">
      <c r="A14" s="10" t="s">
        <v>335</v>
      </c>
      <c r="B14" s="10" t="s">
        <v>336</v>
      </c>
      <c r="C14" s="10" t="s">
        <v>312</v>
      </c>
      <c r="D14" s="10" t="s">
        <v>337</v>
      </c>
      <c r="E14" s="10">
        <f>COUNTIF('Entity Fields'!$A:$A,A14)</f>
        <v>10</v>
      </c>
    </row>
    <row r="15" spans="1:5" x14ac:dyDescent="0.3">
      <c r="A15" s="10" t="s">
        <v>338</v>
      </c>
      <c r="B15" s="10" t="s">
        <v>339</v>
      </c>
      <c r="C15" s="10" t="s">
        <v>312</v>
      </c>
      <c r="D15" s="10" t="s">
        <v>340</v>
      </c>
      <c r="E15" s="10">
        <f>COUNTIF('Entity Fields'!$A:$A,A15)</f>
        <v>13</v>
      </c>
    </row>
    <row r="16" spans="1:5" x14ac:dyDescent="0.3">
      <c r="A16" s="10" t="s">
        <v>341</v>
      </c>
      <c r="B16" s="10" t="s">
        <v>342</v>
      </c>
      <c r="C16" s="10" t="s">
        <v>312</v>
      </c>
      <c r="D16" s="10" t="s">
        <v>343</v>
      </c>
      <c r="E16" s="10">
        <f>COUNTIF('Entity Fields'!$A:$A,A16)</f>
        <v>5</v>
      </c>
    </row>
    <row r="17" spans="1:5" x14ac:dyDescent="0.3">
      <c r="A17" s="10" t="s">
        <v>95</v>
      </c>
      <c r="B17" s="10" t="s">
        <v>344</v>
      </c>
      <c r="C17" s="10" t="s">
        <v>345</v>
      </c>
      <c r="D17" s="10" t="s">
        <v>346</v>
      </c>
      <c r="E17" s="10">
        <f>COUNTIF('Entity Fields'!$A:$A,A17)</f>
        <v>5</v>
      </c>
    </row>
    <row r="18" spans="1:5" x14ac:dyDescent="0.3">
      <c r="A18" s="10" t="s">
        <v>347</v>
      </c>
      <c r="B18" s="10" t="s">
        <v>348</v>
      </c>
      <c r="C18" s="10" t="s">
        <v>345</v>
      </c>
      <c r="D18" s="10" t="s">
        <v>349</v>
      </c>
      <c r="E18" s="10">
        <f>COUNTIF('Entity Fields'!$A:$A,A18)</f>
        <v>8</v>
      </c>
    </row>
    <row r="19" spans="1:5" x14ac:dyDescent="0.3">
      <c r="A19" s="10" t="s">
        <v>345</v>
      </c>
      <c r="B19" s="10" t="s">
        <v>350</v>
      </c>
      <c r="C19" s="10" t="s">
        <v>345</v>
      </c>
      <c r="D19" s="10" t="s">
        <v>351</v>
      </c>
      <c r="E19" s="10">
        <f>COUNTIF('Entity Fields'!$A:$A,A19)</f>
        <v>23</v>
      </c>
    </row>
    <row r="20" spans="1:5" x14ac:dyDescent="0.3">
      <c r="A20" s="10" t="s">
        <v>352</v>
      </c>
      <c r="B20" s="10" t="s">
        <v>353</v>
      </c>
      <c r="C20" s="10" t="s">
        <v>345</v>
      </c>
      <c r="D20" s="10" t="s">
        <v>354</v>
      </c>
      <c r="E20" s="10">
        <f>COUNTIF('Entity Fields'!$A:$A,A20)</f>
        <v>11</v>
      </c>
    </row>
    <row r="21" spans="1:5" x14ac:dyDescent="0.3">
      <c r="A21" s="10" t="s">
        <v>355</v>
      </c>
      <c r="B21" s="10" t="s">
        <v>356</v>
      </c>
      <c r="C21" s="10" t="s">
        <v>345</v>
      </c>
      <c r="D21" s="10" t="s">
        <v>357</v>
      </c>
      <c r="E21" s="10">
        <f>COUNTIF('Entity Fields'!$A:$A,A21)</f>
        <v>12</v>
      </c>
    </row>
    <row r="22" spans="1:5" x14ac:dyDescent="0.3">
      <c r="A22" s="10" t="s">
        <v>358</v>
      </c>
      <c r="B22" s="10" t="s">
        <v>359</v>
      </c>
      <c r="C22" s="10" t="s">
        <v>345</v>
      </c>
      <c r="D22" s="10" t="s">
        <v>360</v>
      </c>
      <c r="E22" s="10">
        <f>COUNTIF('Entity Fields'!$A:$A,A22)</f>
        <v>15</v>
      </c>
    </row>
    <row r="23" spans="1:5" x14ac:dyDescent="0.3">
      <c r="A23" s="10" t="s">
        <v>361</v>
      </c>
      <c r="B23" s="10" t="s">
        <v>362</v>
      </c>
      <c r="C23" s="10" t="s">
        <v>345</v>
      </c>
      <c r="D23" s="10" t="s">
        <v>363</v>
      </c>
      <c r="E23" s="10">
        <f>COUNTIF('Entity Fields'!$A:$A,A23)</f>
        <v>6</v>
      </c>
    </row>
    <row r="24" spans="1:5" x14ac:dyDescent="0.3">
      <c r="A24" s="10" t="s">
        <v>364</v>
      </c>
      <c r="B24" s="10" t="s">
        <v>365</v>
      </c>
      <c r="C24" s="10" t="s">
        <v>126</v>
      </c>
      <c r="D24" s="10" t="s">
        <v>366</v>
      </c>
      <c r="E24" s="10">
        <f>COUNTIF('Entity Fields'!$A:$A,A24)</f>
        <v>14</v>
      </c>
    </row>
    <row r="25" spans="1:5" x14ac:dyDescent="0.3">
      <c r="A25" s="10" t="s">
        <v>367</v>
      </c>
      <c r="B25" s="10" t="s">
        <v>368</v>
      </c>
      <c r="C25" s="10" t="s">
        <v>126</v>
      </c>
      <c r="D25" s="10" t="s">
        <v>369</v>
      </c>
      <c r="E25" s="10">
        <f>COUNTIF('Entity Fields'!$A:$A,A25)</f>
        <v>8</v>
      </c>
    </row>
    <row r="26" spans="1:5" x14ac:dyDescent="0.3">
      <c r="A26" s="10" t="s">
        <v>370</v>
      </c>
      <c r="B26" s="10" t="s">
        <v>371</v>
      </c>
      <c r="C26" s="10" t="s">
        <v>126</v>
      </c>
      <c r="D26" s="10" t="s">
        <v>372</v>
      </c>
      <c r="E26" s="10">
        <f>COUNTIF('Entity Fields'!$A:$A,A26)</f>
        <v>12</v>
      </c>
    </row>
    <row r="27" spans="1:5" x14ac:dyDescent="0.3">
      <c r="A27" s="10" t="s">
        <v>373</v>
      </c>
      <c r="B27" s="10" t="s">
        <v>374</v>
      </c>
      <c r="C27" s="10" t="s">
        <v>126</v>
      </c>
      <c r="D27" s="10" t="s">
        <v>375</v>
      </c>
      <c r="E27" s="10">
        <f>COUNTIF('Entity Fields'!$A:$A,A27)</f>
        <v>13</v>
      </c>
    </row>
    <row r="28" spans="1:5" x14ac:dyDescent="0.3">
      <c r="A28" s="10" t="s">
        <v>376</v>
      </c>
      <c r="B28" s="10" t="s">
        <v>377</v>
      </c>
      <c r="C28" s="10" t="s">
        <v>378</v>
      </c>
      <c r="D28" s="10" t="s">
        <v>379</v>
      </c>
      <c r="E28" s="10">
        <f>COUNTIF('Entity Fields'!$A:$A,A28)</f>
        <v>13</v>
      </c>
    </row>
    <row r="29" spans="1:5" x14ac:dyDescent="0.3">
      <c r="A29" s="10" t="s">
        <v>380</v>
      </c>
      <c r="B29" s="10" t="s">
        <v>381</v>
      </c>
      <c r="C29" s="10" t="s">
        <v>378</v>
      </c>
      <c r="D29" s="10" t="s">
        <v>382</v>
      </c>
      <c r="E29" s="10">
        <f>COUNTIF('Entity Fields'!$A:$A,A29)</f>
        <v>4</v>
      </c>
    </row>
    <row r="30" spans="1:5" x14ac:dyDescent="0.3">
      <c r="A30" s="10" t="s">
        <v>383</v>
      </c>
      <c r="B30" s="10" t="s">
        <v>384</v>
      </c>
      <c r="C30" s="10" t="s">
        <v>378</v>
      </c>
      <c r="D30" s="10" t="s">
        <v>385</v>
      </c>
      <c r="E30" s="10">
        <f>COUNTIF('Entity Fields'!$A:$A,A30)</f>
        <v>9</v>
      </c>
    </row>
    <row r="31" spans="1:5" x14ac:dyDescent="0.3">
      <c r="A31" s="10" t="s">
        <v>386</v>
      </c>
      <c r="B31" s="10" t="s">
        <v>387</v>
      </c>
      <c r="C31" s="10" t="s">
        <v>378</v>
      </c>
      <c r="D31" s="10" t="s">
        <v>388</v>
      </c>
      <c r="E31" s="10">
        <f>COUNTIF('Entity Fields'!$A:$A,A31)</f>
        <v>4</v>
      </c>
    </row>
    <row r="32" spans="1:5" x14ac:dyDescent="0.3">
      <c r="A32" s="10" t="s">
        <v>389</v>
      </c>
      <c r="B32" s="10" t="s">
        <v>390</v>
      </c>
      <c r="C32" s="10" t="s">
        <v>378</v>
      </c>
      <c r="D32" s="10" t="s">
        <v>391</v>
      </c>
      <c r="E32" s="10">
        <f>COUNTIF('Entity Fields'!$A:$A,A32)</f>
        <v>10</v>
      </c>
    </row>
    <row r="33" spans="1:5" x14ac:dyDescent="0.3">
      <c r="A33" s="10" t="s">
        <v>392</v>
      </c>
      <c r="B33" s="10" t="s">
        <v>393</v>
      </c>
      <c r="C33" s="10" t="s">
        <v>378</v>
      </c>
      <c r="D33" s="10" t="s">
        <v>394</v>
      </c>
      <c r="E33" s="10">
        <f>COUNTIF('Entity Fields'!$A:$A,A33)</f>
        <v>8</v>
      </c>
    </row>
    <row r="34" spans="1:5" x14ac:dyDescent="0.3">
      <c r="A34" s="10" t="s">
        <v>395</v>
      </c>
      <c r="B34" s="10" t="s">
        <v>396</v>
      </c>
      <c r="C34" s="10" t="s">
        <v>397</v>
      </c>
      <c r="D34" s="10" t="s">
        <v>398</v>
      </c>
      <c r="E34" s="10">
        <f>COUNTIF('Entity Fields'!$A:$A,A34)</f>
        <v>10</v>
      </c>
    </row>
  </sheetData>
  <autoFilter ref="A1:E3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36"/>
  <sheetViews>
    <sheetView zoomScaleNormal="100" workbookViewId="0">
      <pane xSplit="3" ySplit="1" topLeftCell="D51" activePane="bottomRight" state="frozen"/>
      <selection pane="topRight" activeCell="D1" sqref="D1"/>
      <selection pane="bottomLeft" activeCell="A2" sqref="A2"/>
      <selection pane="bottomRight" activeCell="E74" sqref="E74"/>
    </sheetView>
  </sheetViews>
  <sheetFormatPr defaultColWidth="8.6640625" defaultRowHeight="14.4" x14ac:dyDescent="0.3"/>
  <cols>
    <col min="1" max="1" width="20" customWidth="1"/>
    <col min="2" max="2" width="24" customWidth="1"/>
    <col min="3" max="3" width="22" customWidth="1"/>
    <col min="4" max="4" width="24" customWidth="1"/>
    <col min="5" max="5" width="22" customWidth="1"/>
    <col min="6" max="6" width="17" customWidth="1"/>
    <col min="7" max="8" width="9" customWidth="1"/>
    <col min="9" max="9" width="22" customWidth="1"/>
    <col min="10" max="10" width="26" customWidth="1"/>
    <col min="11" max="11" width="34" customWidth="1"/>
    <col min="12" max="12" width="48" customWidth="1"/>
    <col min="13" max="14" width="9" customWidth="1"/>
    <col min="15" max="15" width="10" customWidth="1"/>
    <col min="16" max="16" width="55" customWidth="1"/>
  </cols>
  <sheetData>
    <row r="1" spans="1:16" ht="26.4" x14ac:dyDescent="0.3">
      <c r="A1" s="9" t="s">
        <v>399</v>
      </c>
      <c r="B1" s="9" t="s">
        <v>295</v>
      </c>
      <c r="C1" s="9" t="s">
        <v>400</v>
      </c>
      <c r="D1" s="9" t="s">
        <v>401</v>
      </c>
      <c r="E1" s="9" t="s">
        <v>402</v>
      </c>
      <c r="F1" s="9" t="s">
        <v>403</v>
      </c>
      <c r="G1" s="9" t="s">
        <v>404</v>
      </c>
      <c r="H1" s="9" t="s">
        <v>405</v>
      </c>
      <c r="I1" s="9" t="s">
        <v>406</v>
      </c>
      <c r="J1" s="9" t="s">
        <v>407</v>
      </c>
      <c r="K1" s="9" t="s">
        <v>408</v>
      </c>
      <c r="L1" s="9" t="s">
        <v>409</v>
      </c>
      <c r="M1" s="9" t="s">
        <v>410</v>
      </c>
      <c r="N1" s="9" t="s">
        <v>411</v>
      </c>
      <c r="O1" s="9" t="s">
        <v>412</v>
      </c>
      <c r="P1" s="9" t="s">
        <v>413</v>
      </c>
    </row>
    <row r="2" spans="1:16" ht="26.4" x14ac:dyDescent="0.3">
      <c r="A2" s="11" t="s">
        <v>298</v>
      </c>
      <c r="B2" s="11" t="s">
        <v>299</v>
      </c>
      <c r="C2" s="11" t="s">
        <v>414</v>
      </c>
      <c r="D2" s="11" t="s">
        <v>414</v>
      </c>
      <c r="E2" s="11" t="s">
        <v>415</v>
      </c>
      <c r="F2" s="11" t="s">
        <v>416</v>
      </c>
      <c r="G2" s="12" t="s">
        <v>417</v>
      </c>
      <c r="H2" s="12" t="s">
        <v>418</v>
      </c>
      <c r="I2" s="11"/>
      <c r="J2" s="11" t="s">
        <v>419</v>
      </c>
      <c r="K2" s="11"/>
      <c r="L2" s="11"/>
      <c r="M2" s="12"/>
      <c r="N2" s="12"/>
      <c r="O2" s="12" t="s">
        <v>420</v>
      </c>
      <c r="P2" s="11" t="s">
        <v>421</v>
      </c>
    </row>
    <row r="3" spans="1:16" ht="26.4" x14ac:dyDescent="0.3">
      <c r="A3" s="11" t="s">
        <v>298</v>
      </c>
      <c r="B3" s="11" t="s">
        <v>299</v>
      </c>
      <c r="C3" s="11" t="s">
        <v>422</v>
      </c>
      <c r="D3" s="11" t="s">
        <v>422</v>
      </c>
      <c r="E3" s="11" t="s">
        <v>423</v>
      </c>
      <c r="F3" s="11" t="s">
        <v>424</v>
      </c>
      <c r="G3" s="12" t="s">
        <v>417</v>
      </c>
      <c r="H3" s="12" t="s">
        <v>425</v>
      </c>
      <c r="I3" s="11"/>
      <c r="J3" s="11"/>
      <c r="K3" s="11"/>
      <c r="L3" s="11" t="s">
        <v>426</v>
      </c>
      <c r="M3" s="12" t="s">
        <v>420</v>
      </c>
      <c r="N3" s="12"/>
      <c r="O3" s="12" t="s">
        <v>420</v>
      </c>
      <c r="P3" s="11" t="s">
        <v>427</v>
      </c>
    </row>
    <row r="4" spans="1:16" ht="26.4" x14ac:dyDescent="0.3">
      <c r="A4" s="11" t="s">
        <v>298</v>
      </c>
      <c r="B4" s="11" t="s">
        <v>299</v>
      </c>
      <c r="C4" s="11" t="s">
        <v>428</v>
      </c>
      <c r="D4" s="11" t="s">
        <v>429</v>
      </c>
      <c r="E4" s="11" t="s">
        <v>423</v>
      </c>
      <c r="F4" s="11" t="s">
        <v>424</v>
      </c>
      <c r="G4" s="12" t="s">
        <v>417</v>
      </c>
      <c r="H4" s="12"/>
      <c r="I4" s="11"/>
      <c r="J4" s="11"/>
      <c r="K4" s="11"/>
      <c r="L4" s="11" t="s">
        <v>430</v>
      </c>
      <c r="M4" s="12"/>
      <c r="N4" s="12"/>
      <c r="O4" s="12"/>
      <c r="P4" s="11" t="s">
        <v>431</v>
      </c>
    </row>
    <row r="5" spans="1:16" x14ac:dyDescent="0.3">
      <c r="A5" s="11" t="s">
        <v>298</v>
      </c>
      <c r="B5" s="11" t="s">
        <v>299</v>
      </c>
      <c r="C5" s="11" t="s">
        <v>432</v>
      </c>
      <c r="D5" s="11" t="s">
        <v>433</v>
      </c>
      <c r="E5" s="11" t="s">
        <v>423</v>
      </c>
      <c r="F5" s="11" t="s">
        <v>434</v>
      </c>
      <c r="G5" s="12" t="s">
        <v>417</v>
      </c>
      <c r="H5" s="12"/>
      <c r="I5" s="11"/>
      <c r="J5" s="11"/>
      <c r="K5" s="11"/>
      <c r="L5" s="11" t="s">
        <v>435</v>
      </c>
      <c r="M5" s="12" t="s">
        <v>420</v>
      </c>
      <c r="N5" s="12" t="s">
        <v>420</v>
      </c>
      <c r="O5" s="12" t="s">
        <v>420</v>
      </c>
      <c r="P5" s="11"/>
    </row>
    <row r="6" spans="1:16" x14ac:dyDescent="0.3">
      <c r="A6" s="11" t="s">
        <v>298</v>
      </c>
      <c r="B6" s="11" t="s">
        <v>299</v>
      </c>
      <c r="C6" s="11" t="s">
        <v>436</v>
      </c>
      <c r="D6" s="11" t="s">
        <v>437</v>
      </c>
      <c r="E6" s="11" t="s">
        <v>423</v>
      </c>
      <c r="F6" s="11" t="s">
        <v>434</v>
      </c>
      <c r="G6" s="12" t="s">
        <v>417</v>
      </c>
      <c r="H6" s="12"/>
      <c r="I6" s="11"/>
      <c r="J6" s="11"/>
      <c r="K6" s="11"/>
      <c r="L6" s="11" t="s">
        <v>435</v>
      </c>
      <c r="M6" s="12" t="s">
        <v>420</v>
      </c>
      <c r="N6" s="12" t="s">
        <v>420</v>
      </c>
      <c r="O6" s="12" t="s">
        <v>420</v>
      </c>
      <c r="P6" s="11"/>
    </row>
    <row r="7" spans="1:16" x14ac:dyDescent="0.3">
      <c r="A7" s="11" t="s">
        <v>298</v>
      </c>
      <c r="B7" s="11" t="s">
        <v>299</v>
      </c>
      <c r="C7" s="11" t="s">
        <v>438</v>
      </c>
      <c r="D7" s="11" t="s">
        <v>439</v>
      </c>
      <c r="E7" s="11" t="s">
        <v>423</v>
      </c>
      <c r="F7" s="11" t="s">
        <v>440</v>
      </c>
      <c r="G7" s="12" t="s">
        <v>420</v>
      </c>
      <c r="H7" s="12"/>
      <c r="I7" s="11"/>
      <c r="J7" s="11"/>
      <c r="K7" s="11"/>
      <c r="L7" s="11" t="s">
        <v>441</v>
      </c>
      <c r="M7" s="12" t="s">
        <v>420</v>
      </c>
      <c r="N7" s="12" t="s">
        <v>420</v>
      </c>
      <c r="O7" s="12" t="s">
        <v>420</v>
      </c>
      <c r="P7" s="11"/>
    </row>
    <row r="8" spans="1:16" x14ac:dyDescent="0.3">
      <c r="A8" s="11" t="s">
        <v>298</v>
      </c>
      <c r="B8" s="11" t="s">
        <v>299</v>
      </c>
      <c r="C8" s="11" t="s">
        <v>442</v>
      </c>
      <c r="D8" s="11" t="s">
        <v>443</v>
      </c>
      <c r="E8" s="11" t="s">
        <v>444</v>
      </c>
      <c r="F8" s="11" t="s">
        <v>445</v>
      </c>
      <c r="G8" s="12" t="s">
        <v>420</v>
      </c>
      <c r="H8" s="12"/>
      <c r="I8" s="11"/>
      <c r="J8" s="11"/>
      <c r="K8" s="11"/>
      <c r="L8" s="11" t="s">
        <v>446</v>
      </c>
      <c r="M8" s="12" t="s">
        <v>420</v>
      </c>
      <c r="N8" s="12" t="s">
        <v>420</v>
      </c>
      <c r="O8" s="12" t="s">
        <v>420</v>
      </c>
      <c r="P8" s="11"/>
    </row>
    <row r="9" spans="1:16" x14ac:dyDescent="0.3">
      <c r="A9" s="11" t="s">
        <v>298</v>
      </c>
      <c r="B9" s="11" t="s">
        <v>299</v>
      </c>
      <c r="C9" s="11" t="s">
        <v>447</v>
      </c>
      <c r="D9" s="11" t="s">
        <v>447</v>
      </c>
      <c r="E9" s="11" t="s">
        <v>448</v>
      </c>
      <c r="F9" s="11" t="s">
        <v>449</v>
      </c>
      <c r="G9" s="12" t="s">
        <v>417</v>
      </c>
      <c r="H9" s="12"/>
      <c r="I9" s="11"/>
      <c r="J9" s="11" t="s">
        <v>450</v>
      </c>
      <c r="K9" s="11"/>
      <c r="L9" s="11"/>
      <c r="M9" s="12"/>
      <c r="N9" s="12"/>
      <c r="O9" s="12" t="s">
        <v>420</v>
      </c>
      <c r="P9" s="11" t="s">
        <v>451</v>
      </c>
    </row>
    <row r="10" spans="1:16" ht="26.4" x14ac:dyDescent="0.3">
      <c r="A10" s="11" t="s">
        <v>298</v>
      </c>
      <c r="B10" s="11" t="s">
        <v>299</v>
      </c>
      <c r="C10" s="11" t="s">
        <v>452</v>
      </c>
      <c r="D10" s="11" t="s">
        <v>452</v>
      </c>
      <c r="E10" s="11" t="s">
        <v>453</v>
      </c>
      <c r="F10" s="11" t="s">
        <v>449</v>
      </c>
      <c r="G10" s="12" t="s">
        <v>417</v>
      </c>
      <c r="H10" s="12"/>
      <c r="I10" s="11"/>
      <c r="J10" s="11" t="s">
        <v>454</v>
      </c>
      <c r="K10" s="11"/>
      <c r="L10" s="11"/>
      <c r="M10" s="12"/>
      <c r="N10" s="12"/>
      <c r="O10" s="12" t="s">
        <v>420</v>
      </c>
      <c r="P10" s="11" t="s">
        <v>455</v>
      </c>
    </row>
    <row r="11" spans="1:16" x14ac:dyDescent="0.3">
      <c r="A11" s="11" t="s">
        <v>298</v>
      </c>
      <c r="B11" s="11" t="s">
        <v>299</v>
      </c>
      <c r="C11" s="11" t="s">
        <v>456</v>
      </c>
      <c r="D11" s="11" t="s">
        <v>457</v>
      </c>
      <c r="E11" s="11" t="s">
        <v>458</v>
      </c>
      <c r="F11" s="11" t="s">
        <v>459</v>
      </c>
      <c r="G11" s="12" t="s">
        <v>417</v>
      </c>
      <c r="H11" s="12"/>
      <c r="I11" s="11"/>
      <c r="J11" s="11" t="s">
        <v>460</v>
      </c>
      <c r="K11" s="11"/>
      <c r="L11" s="11"/>
      <c r="M11" s="12"/>
      <c r="N11" s="12"/>
      <c r="O11" s="12" t="s">
        <v>420</v>
      </c>
      <c r="P11" s="11"/>
    </row>
    <row r="12" spans="1:16" x14ac:dyDescent="0.3">
      <c r="A12" s="11" t="s">
        <v>298</v>
      </c>
      <c r="B12" s="11" t="s">
        <v>299</v>
      </c>
      <c r="C12" s="11" t="s">
        <v>461</v>
      </c>
      <c r="D12" s="11" t="s">
        <v>462</v>
      </c>
      <c r="E12" s="11" t="s">
        <v>423</v>
      </c>
      <c r="F12" s="11" t="s">
        <v>463</v>
      </c>
      <c r="G12" s="12" t="s">
        <v>417</v>
      </c>
      <c r="H12" s="12"/>
      <c r="I12" s="11"/>
      <c r="J12" s="11" t="s">
        <v>464</v>
      </c>
      <c r="K12" s="11"/>
      <c r="L12" s="11" t="s">
        <v>465</v>
      </c>
      <c r="M12" s="12" t="s">
        <v>420</v>
      </c>
      <c r="N12" s="12" t="s">
        <v>420</v>
      </c>
      <c r="O12" s="12" t="s">
        <v>420</v>
      </c>
      <c r="P12" s="11"/>
    </row>
    <row r="13" spans="1:16" x14ac:dyDescent="0.3">
      <c r="A13" s="11" t="s">
        <v>298</v>
      </c>
      <c r="B13" s="11" t="s">
        <v>299</v>
      </c>
      <c r="C13" s="11" t="s">
        <v>466</v>
      </c>
      <c r="D13" s="11" t="s">
        <v>467</v>
      </c>
      <c r="E13" s="11" t="s">
        <v>423</v>
      </c>
      <c r="F13" s="11" t="s">
        <v>468</v>
      </c>
      <c r="G13" s="12" t="s">
        <v>417</v>
      </c>
      <c r="H13" s="12"/>
      <c r="I13" s="11"/>
      <c r="J13" s="11" t="s">
        <v>469</v>
      </c>
      <c r="K13" s="11"/>
      <c r="L13" s="11" t="s">
        <v>470</v>
      </c>
      <c r="M13" s="12" t="s">
        <v>420</v>
      </c>
      <c r="N13" s="12" t="s">
        <v>420</v>
      </c>
      <c r="O13" s="12" t="s">
        <v>420</v>
      </c>
      <c r="P13" s="11"/>
    </row>
    <row r="14" spans="1:16" x14ac:dyDescent="0.3">
      <c r="A14" s="11" t="s">
        <v>298</v>
      </c>
      <c r="B14" s="11" t="s">
        <v>299</v>
      </c>
      <c r="C14" s="11" t="s">
        <v>471</v>
      </c>
      <c r="D14" s="11" t="s">
        <v>472</v>
      </c>
      <c r="E14" s="11" t="s">
        <v>423</v>
      </c>
      <c r="F14" s="11" t="s">
        <v>473</v>
      </c>
      <c r="G14" s="12" t="s">
        <v>420</v>
      </c>
      <c r="H14" s="12"/>
      <c r="I14" s="11"/>
      <c r="J14" s="11"/>
      <c r="K14" s="11"/>
      <c r="L14" s="11" t="s">
        <v>474</v>
      </c>
      <c r="M14" s="12"/>
      <c r="N14" s="12" t="s">
        <v>420</v>
      </c>
      <c r="O14" s="12" t="s">
        <v>420</v>
      </c>
      <c r="P14" s="11"/>
    </row>
    <row r="15" spans="1:16" x14ac:dyDescent="0.3">
      <c r="A15" s="11" t="s">
        <v>298</v>
      </c>
      <c r="B15" s="11" t="s">
        <v>299</v>
      </c>
      <c r="C15" s="11" t="s">
        <v>475</v>
      </c>
      <c r="D15" s="11" t="s">
        <v>476</v>
      </c>
      <c r="E15" s="11" t="s">
        <v>477</v>
      </c>
      <c r="F15" s="11" t="s">
        <v>478</v>
      </c>
      <c r="G15" s="12" t="s">
        <v>420</v>
      </c>
      <c r="H15" s="12"/>
      <c r="I15" s="11"/>
      <c r="J15" s="11"/>
      <c r="K15" s="11"/>
      <c r="L15" s="11"/>
      <c r="M15" s="12"/>
      <c r="N15" s="12"/>
      <c r="O15" s="12" t="s">
        <v>420</v>
      </c>
      <c r="P15" s="11"/>
    </row>
    <row r="16" spans="1:16" x14ac:dyDescent="0.3">
      <c r="A16" s="11" t="s">
        <v>298</v>
      </c>
      <c r="B16" s="11" t="s">
        <v>299</v>
      </c>
      <c r="C16" s="11" t="s">
        <v>479</v>
      </c>
      <c r="D16" s="11" t="s">
        <v>480</v>
      </c>
      <c r="E16" s="11" t="s">
        <v>477</v>
      </c>
      <c r="F16" s="11" t="s">
        <v>478</v>
      </c>
      <c r="G16" s="12" t="s">
        <v>417</v>
      </c>
      <c r="H16" s="12"/>
      <c r="I16" s="11"/>
      <c r="J16" s="11" t="s">
        <v>481</v>
      </c>
      <c r="K16" s="11"/>
      <c r="L16" s="11" t="s">
        <v>482</v>
      </c>
      <c r="M16" s="12"/>
      <c r="N16" s="12"/>
      <c r="O16" s="12" t="s">
        <v>420</v>
      </c>
      <c r="P16" s="11" t="s">
        <v>483</v>
      </c>
    </row>
    <row r="17" spans="1:16" x14ac:dyDescent="0.3">
      <c r="A17" s="11" t="s">
        <v>298</v>
      </c>
      <c r="B17" s="11" t="s">
        <v>299</v>
      </c>
      <c r="C17" s="11" t="s">
        <v>484</v>
      </c>
      <c r="D17" s="11" t="s">
        <v>485</v>
      </c>
      <c r="E17" s="11" t="s">
        <v>477</v>
      </c>
      <c r="F17" s="11" t="s">
        <v>478</v>
      </c>
      <c r="G17" s="12" t="s">
        <v>417</v>
      </c>
      <c r="H17" s="12"/>
      <c r="I17" s="11"/>
      <c r="J17" s="11" t="s">
        <v>481</v>
      </c>
      <c r="K17" s="11"/>
      <c r="L17" s="11" t="s">
        <v>482</v>
      </c>
      <c r="M17" s="12"/>
      <c r="N17" s="12"/>
      <c r="O17" s="12" t="s">
        <v>420</v>
      </c>
      <c r="P17" s="11" t="s">
        <v>486</v>
      </c>
    </row>
    <row r="18" spans="1:16" ht="26.4" x14ac:dyDescent="0.3">
      <c r="A18" s="10" t="s">
        <v>301</v>
      </c>
      <c r="B18" s="10" t="s">
        <v>302</v>
      </c>
      <c r="C18" s="10" t="s">
        <v>414</v>
      </c>
      <c r="D18" s="10" t="s">
        <v>414</v>
      </c>
      <c r="E18" s="10" t="s">
        <v>415</v>
      </c>
      <c r="F18" s="10" t="s">
        <v>416</v>
      </c>
      <c r="G18" s="13" t="s">
        <v>417</v>
      </c>
      <c r="H18" s="13" t="s">
        <v>418</v>
      </c>
      <c r="I18" s="10"/>
      <c r="J18" s="10" t="s">
        <v>419</v>
      </c>
      <c r="K18" s="10"/>
      <c r="L18" s="10"/>
      <c r="M18" s="13"/>
      <c r="N18" s="13"/>
      <c r="O18" s="13" t="s">
        <v>420</v>
      </c>
      <c r="P18" s="10" t="s">
        <v>421</v>
      </c>
    </row>
    <row r="19" spans="1:16" x14ac:dyDescent="0.3">
      <c r="A19" s="10" t="s">
        <v>301</v>
      </c>
      <c r="B19" s="10" t="s">
        <v>302</v>
      </c>
      <c r="C19" s="10" t="s">
        <v>487</v>
      </c>
      <c r="D19" s="10" t="s">
        <v>488</v>
      </c>
      <c r="E19" s="10" t="s">
        <v>298</v>
      </c>
      <c r="F19" s="10" t="s">
        <v>416</v>
      </c>
      <c r="G19" s="13" t="s">
        <v>417</v>
      </c>
      <c r="H19" s="13" t="s">
        <v>489</v>
      </c>
      <c r="I19" s="10" t="s">
        <v>490</v>
      </c>
      <c r="J19" s="10"/>
      <c r="K19" s="10"/>
      <c r="L19" s="10"/>
      <c r="M19" s="13"/>
      <c r="N19" s="13"/>
      <c r="O19" s="13"/>
      <c r="P19" s="10"/>
    </row>
    <row r="20" spans="1:16" x14ac:dyDescent="0.3">
      <c r="A20" s="10" t="s">
        <v>301</v>
      </c>
      <c r="B20" s="10" t="s">
        <v>302</v>
      </c>
      <c r="C20" s="10" t="s">
        <v>491</v>
      </c>
      <c r="D20" s="10" t="s">
        <v>492</v>
      </c>
      <c r="E20" s="10" t="s">
        <v>423</v>
      </c>
      <c r="F20" s="10" t="s">
        <v>434</v>
      </c>
      <c r="G20" s="13" t="s">
        <v>417</v>
      </c>
      <c r="H20" s="13" t="s">
        <v>425</v>
      </c>
      <c r="I20" s="10"/>
      <c r="J20" s="10"/>
      <c r="K20" s="10"/>
      <c r="L20" s="10"/>
      <c r="M20" s="13"/>
      <c r="N20" s="13"/>
      <c r="O20" s="13"/>
      <c r="P20" s="10" t="s">
        <v>493</v>
      </c>
    </row>
    <row r="21" spans="1:16" x14ac:dyDescent="0.3">
      <c r="A21" s="10" t="s">
        <v>301</v>
      </c>
      <c r="B21" s="10" t="s">
        <v>302</v>
      </c>
      <c r="C21" s="10" t="s">
        <v>494</v>
      </c>
      <c r="D21" s="10" t="s">
        <v>494</v>
      </c>
      <c r="E21" s="10" t="s">
        <v>495</v>
      </c>
      <c r="F21" s="10" t="s">
        <v>449</v>
      </c>
      <c r="G21" s="13" t="s">
        <v>417</v>
      </c>
      <c r="H21" s="13"/>
      <c r="I21" s="10"/>
      <c r="J21" s="10"/>
      <c r="K21" s="10"/>
      <c r="L21" s="10"/>
      <c r="M21" s="13"/>
      <c r="N21" s="13"/>
      <c r="O21" s="13"/>
      <c r="P21" s="10"/>
    </row>
    <row r="22" spans="1:16" x14ac:dyDescent="0.3">
      <c r="A22" s="10" t="s">
        <v>301</v>
      </c>
      <c r="B22" s="10" t="s">
        <v>302</v>
      </c>
      <c r="C22" s="10" t="s">
        <v>496</v>
      </c>
      <c r="D22" s="10" t="s">
        <v>497</v>
      </c>
      <c r="E22" s="10" t="s">
        <v>477</v>
      </c>
      <c r="F22" s="10" t="s">
        <v>478</v>
      </c>
      <c r="G22" s="13" t="s">
        <v>417</v>
      </c>
      <c r="H22" s="13"/>
      <c r="I22" s="10"/>
      <c r="J22" s="10"/>
      <c r="K22" s="10"/>
      <c r="L22" s="10"/>
      <c r="M22" s="13"/>
      <c r="N22" s="13"/>
      <c r="O22" s="13"/>
      <c r="P22" s="10"/>
    </row>
    <row r="23" spans="1:16" x14ac:dyDescent="0.3">
      <c r="A23" s="10" t="s">
        <v>301</v>
      </c>
      <c r="B23" s="10" t="s">
        <v>302</v>
      </c>
      <c r="C23" s="10" t="s">
        <v>498</v>
      </c>
      <c r="D23" s="10" t="s">
        <v>499</v>
      </c>
      <c r="E23" s="10" t="s">
        <v>477</v>
      </c>
      <c r="F23" s="10" t="s">
        <v>478</v>
      </c>
      <c r="G23" s="13" t="s">
        <v>420</v>
      </c>
      <c r="H23" s="13"/>
      <c r="I23" s="10"/>
      <c r="J23" s="10"/>
      <c r="K23" s="10"/>
      <c r="L23" s="10"/>
      <c r="M23" s="13"/>
      <c r="N23" s="13"/>
      <c r="O23" s="13"/>
      <c r="P23" s="10"/>
    </row>
    <row r="24" spans="1:16" x14ac:dyDescent="0.3">
      <c r="A24" s="10" t="s">
        <v>301</v>
      </c>
      <c r="B24" s="10" t="s">
        <v>302</v>
      </c>
      <c r="C24" s="10" t="s">
        <v>479</v>
      </c>
      <c r="D24" s="10" t="s">
        <v>480</v>
      </c>
      <c r="E24" s="10" t="s">
        <v>477</v>
      </c>
      <c r="F24" s="10" t="s">
        <v>478</v>
      </c>
      <c r="G24" s="13" t="s">
        <v>417</v>
      </c>
      <c r="H24" s="13"/>
      <c r="I24" s="10"/>
      <c r="J24" s="10" t="s">
        <v>481</v>
      </c>
      <c r="K24" s="10"/>
      <c r="L24" s="10" t="s">
        <v>482</v>
      </c>
      <c r="M24" s="13"/>
      <c r="N24" s="13"/>
      <c r="O24" s="13" t="s">
        <v>420</v>
      </c>
      <c r="P24" s="10" t="s">
        <v>483</v>
      </c>
    </row>
    <row r="25" spans="1:16" ht="26.4" x14ac:dyDescent="0.3">
      <c r="A25" s="11" t="s">
        <v>304</v>
      </c>
      <c r="B25" s="11" t="s">
        <v>305</v>
      </c>
      <c r="C25" s="11" t="s">
        <v>414</v>
      </c>
      <c r="D25" s="11" t="s">
        <v>414</v>
      </c>
      <c r="E25" s="11" t="s">
        <v>415</v>
      </c>
      <c r="F25" s="11" t="s">
        <v>416</v>
      </c>
      <c r="G25" s="12" t="s">
        <v>417</v>
      </c>
      <c r="H25" s="12" t="s">
        <v>418</v>
      </c>
      <c r="I25" s="11"/>
      <c r="J25" s="11" t="s">
        <v>419</v>
      </c>
      <c r="K25" s="11"/>
      <c r="L25" s="11"/>
      <c r="M25" s="12"/>
      <c r="N25" s="12"/>
      <c r="O25" s="12" t="s">
        <v>420</v>
      </c>
      <c r="P25" s="11" t="s">
        <v>421</v>
      </c>
    </row>
    <row r="26" spans="1:16" x14ac:dyDescent="0.3">
      <c r="A26" s="11" t="s">
        <v>304</v>
      </c>
      <c r="B26" s="11" t="s">
        <v>305</v>
      </c>
      <c r="C26" s="11" t="s">
        <v>487</v>
      </c>
      <c r="D26" s="11" t="s">
        <v>488</v>
      </c>
      <c r="E26" s="11" t="s">
        <v>298</v>
      </c>
      <c r="F26" s="11" t="s">
        <v>416</v>
      </c>
      <c r="G26" s="12" t="s">
        <v>417</v>
      </c>
      <c r="H26" s="12" t="s">
        <v>489</v>
      </c>
      <c r="I26" s="11" t="s">
        <v>490</v>
      </c>
      <c r="J26" s="11"/>
      <c r="K26" s="11"/>
      <c r="L26" s="11"/>
      <c r="M26" s="12"/>
      <c r="N26" s="12"/>
      <c r="O26" s="12"/>
      <c r="P26" s="11"/>
    </row>
    <row r="27" spans="1:16" x14ac:dyDescent="0.3">
      <c r="A27" s="11" t="s">
        <v>304</v>
      </c>
      <c r="B27" s="11" t="s">
        <v>305</v>
      </c>
      <c r="C27" s="11" t="s">
        <v>491</v>
      </c>
      <c r="D27" s="11" t="s">
        <v>492</v>
      </c>
      <c r="E27" s="11" t="s">
        <v>423</v>
      </c>
      <c r="F27" s="11" t="s">
        <v>424</v>
      </c>
      <c r="G27" s="12" t="s">
        <v>417</v>
      </c>
      <c r="H27" s="12" t="s">
        <v>425</v>
      </c>
      <c r="I27" s="11"/>
      <c r="J27" s="11"/>
      <c r="K27" s="11"/>
      <c r="L27" s="11"/>
      <c r="M27" s="12"/>
      <c r="N27" s="12"/>
      <c r="O27" s="12"/>
      <c r="P27" s="11"/>
    </row>
    <row r="28" spans="1:16" x14ac:dyDescent="0.3">
      <c r="A28" s="11" t="s">
        <v>304</v>
      </c>
      <c r="B28" s="11" t="s">
        <v>305</v>
      </c>
      <c r="C28" s="11" t="s">
        <v>496</v>
      </c>
      <c r="D28" s="11" t="s">
        <v>497</v>
      </c>
      <c r="E28" s="11" t="s">
        <v>477</v>
      </c>
      <c r="F28" s="11" t="s">
        <v>478</v>
      </c>
      <c r="G28" s="12" t="s">
        <v>417</v>
      </c>
      <c r="H28" s="12"/>
      <c r="I28" s="11"/>
      <c r="J28" s="11"/>
      <c r="K28" s="11"/>
      <c r="L28" s="11"/>
      <c r="M28" s="12"/>
      <c r="N28" s="12"/>
      <c r="O28" s="12"/>
      <c r="P28" s="11"/>
    </row>
    <row r="29" spans="1:16" x14ac:dyDescent="0.3">
      <c r="A29" s="11" t="s">
        <v>304</v>
      </c>
      <c r="B29" s="11" t="s">
        <v>305</v>
      </c>
      <c r="C29" s="11" t="s">
        <v>500</v>
      </c>
      <c r="D29" s="11" t="s">
        <v>500</v>
      </c>
      <c r="E29" s="11" t="s">
        <v>458</v>
      </c>
      <c r="F29" s="11" t="s">
        <v>459</v>
      </c>
      <c r="G29" s="12" t="s">
        <v>417</v>
      </c>
      <c r="H29" s="12"/>
      <c r="I29" s="11"/>
      <c r="J29" s="11" t="s">
        <v>460</v>
      </c>
      <c r="K29" s="11"/>
      <c r="L29" s="11"/>
      <c r="M29" s="12"/>
      <c r="N29" s="12"/>
      <c r="O29" s="12"/>
      <c r="P29" s="11"/>
    </row>
    <row r="30" spans="1:16" x14ac:dyDescent="0.3">
      <c r="A30" s="11" t="s">
        <v>304</v>
      </c>
      <c r="B30" s="11" t="s">
        <v>305</v>
      </c>
      <c r="C30" s="11" t="s">
        <v>501</v>
      </c>
      <c r="D30" s="11" t="s">
        <v>502</v>
      </c>
      <c r="E30" s="11" t="s">
        <v>423</v>
      </c>
      <c r="F30" s="11" t="s">
        <v>503</v>
      </c>
      <c r="G30" s="12" t="s">
        <v>420</v>
      </c>
      <c r="H30" s="12"/>
      <c r="I30" s="11"/>
      <c r="J30" s="11"/>
      <c r="K30" s="11"/>
      <c r="L30" s="11"/>
      <c r="M30" s="12"/>
      <c r="N30" s="12"/>
      <c r="O30" s="12"/>
      <c r="P30" s="11" t="s">
        <v>504</v>
      </c>
    </row>
    <row r="31" spans="1:16" x14ac:dyDescent="0.3">
      <c r="A31" s="11" t="s">
        <v>304</v>
      </c>
      <c r="B31" s="11" t="s">
        <v>305</v>
      </c>
      <c r="C31" s="11" t="s">
        <v>479</v>
      </c>
      <c r="D31" s="11" t="s">
        <v>480</v>
      </c>
      <c r="E31" s="11" t="s">
        <v>477</v>
      </c>
      <c r="F31" s="11" t="s">
        <v>478</v>
      </c>
      <c r="G31" s="12" t="s">
        <v>417</v>
      </c>
      <c r="H31" s="12"/>
      <c r="I31" s="11"/>
      <c r="J31" s="11" t="s">
        <v>481</v>
      </c>
      <c r="K31" s="11"/>
      <c r="L31" s="11" t="s">
        <v>482</v>
      </c>
      <c r="M31" s="12"/>
      <c r="N31" s="12"/>
      <c r="O31" s="12" t="s">
        <v>420</v>
      </c>
      <c r="P31" s="11" t="s">
        <v>483</v>
      </c>
    </row>
    <row r="32" spans="1:16" ht="26.4" x14ac:dyDescent="0.3">
      <c r="A32" s="10" t="s">
        <v>307</v>
      </c>
      <c r="B32" s="10" t="s">
        <v>308</v>
      </c>
      <c r="C32" s="10" t="s">
        <v>414</v>
      </c>
      <c r="D32" s="10" t="s">
        <v>414</v>
      </c>
      <c r="E32" s="10" t="s">
        <v>415</v>
      </c>
      <c r="F32" s="10" t="s">
        <v>416</v>
      </c>
      <c r="G32" s="13" t="s">
        <v>417</v>
      </c>
      <c r="H32" s="13" t="s">
        <v>418</v>
      </c>
      <c r="I32" s="10"/>
      <c r="J32" s="10" t="s">
        <v>419</v>
      </c>
      <c r="K32" s="10"/>
      <c r="L32" s="10"/>
      <c r="M32" s="13"/>
      <c r="N32" s="13"/>
      <c r="O32" s="13" t="s">
        <v>420</v>
      </c>
      <c r="P32" s="10" t="s">
        <v>421</v>
      </c>
    </row>
    <row r="33" spans="1:16" x14ac:dyDescent="0.3">
      <c r="A33" s="10" t="s">
        <v>307</v>
      </c>
      <c r="B33" s="10" t="s">
        <v>308</v>
      </c>
      <c r="C33" s="10" t="s">
        <v>487</v>
      </c>
      <c r="D33" s="10" t="s">
        <v>488</v>
      </c>
      <c r="E33" s="10" t="s">
        <v>298</v>
      </c>
      <c r="F33" s="10" t="s">
        <v>416</v>
      </c>
      <c r="G33" s="13" t="s">
        <v>417</v>
      </c>
      <c r="H33" s="13" t="s">
        <v>505</v>
      </c>
      <c r="I33" s="10" t="s">
        <v>490</v>
      </c>
      <c r="J33" s="10"/>
      <c r="K33" s="10"/>
      <c r="L33" s="10"/>
      <c r="M33" s="13"/>
      <c r="N33" s="13"/>
      <c r="O33" s="13" t="s">
        <v>420</v>
      </c>
      <c r="P33" s="10" t="s">
        <v>506</v>
      </c>
    </row>
    <row r="34" spans="1:16" x14ac:dyDescent="0.3">
      <c r="A34" s="10" t="s">
        <v>307</v>
      </c>
      <c r="B34" s="10" t="s">
        <v>308</v>
      </c>
      <c r="C34" s="10" t="s">
        <v>507</v>
      </c>
      <c r="D34" s="10" t="s">
        <v>508</v>
      </c>
      <c r="E34" s="10" t="s">
        <v>423</v>
      </c>
      <c r="F34" s="10" t="s">
        <v>509</v>
      </c>
      <c r="G34" s="13" t="s">
        <v>417</v>
      </c>
      <c r="H34" s="13"/>
      <c r="I34" s="10"/>
      <c r="J34" s="10"/>
      <c r="K34" s="10"/>
      <c r="L34" s="10" t="s">
        <v>510</v>
      </c>
      <c r="M34" s="13" t="s">
        <v>420</v>
      </c>
      <c r="N34" s="13" t="s">
        <v>420</v>
      </c>
      <c r="O34" s="13" t="s">
        <v>420</v>
      </c>
      <c r="P34" s="10"/>
    </row>
    <row r="35" spans="1:16" x14ac:dyDescent="0.3">
      <c r="A35" s="10" t="s">
        <v>307</v>
      </c>
      <c r="B35" s="10" t="s">
        <v>308</v>
      </c>
      <c r="C35" s="10" t="s">
        <v>511</v>
      </c>
      <c r="D35" s="10" t="s">
        <v>511</v>
      </c>
      <c r="E35" s="10" t="s">
        <v>423</v>
      </c>
      <c r="F35" s="10" t="s">
        <v>512</v>
      </c>
      <c r="G35" s="13" t="s">
        <v>420</v>
      </c>
      <c r="H35" s="13"/>
      <c r="I35" s="10"/>
      <c r="J35" s="10"/>
      <c r="K35" s="10"/>
      <c r="L35" s="10" t="s">
        <v>513</v>
      </c>
      <c r="M35" s="13" t="s">
        <v>420</v>
      </c>
      <c r="N35" s="13" t="s">
        <v>420</v>
      </c>
      <c r="O35" s="13" t="s">
        <v>420</v>
      </c>
      <c r="P35" s="10"/>
    </row>
    <row r="36" spans="1:16" x14ac:dyDescent="0.3">
      <c r="A36" s="10" t="s">
        <v>307</v>
      </c>
      <c r="B36" s="10" t="s">
        <v>308</v>
      </c>
      <c r="C36" s="10" t="s">
        <v>514</v>
      </c>
      <c r="D36" s="10" t="s">
        <v>515</v>
      </c>
      <c r="E36" s="10" t="s">
        <v>423</v>
      </c>
      <c r="F36" s="10" t="s">
        <v>424</v>
      </c>
      <c r="G36" s="13" t="s">
        <v>417</v>
      </c>
      <c r="H36" s="13"/>
      <c r="I36" s="10"/>
      <c r="J36" s="10"/>
      <c r="K36" s="10"/>
      <c r="L36" s="10" t="s">
        <v>516</v>
      </c>
      <c r="M36" s="13" t="s">
        <v>420</v>
      </c>
      <c r="N36" s="13" t="s">
        <v>420</v>
      </c>
      <c r="O36" s="13" t="s">
        <v>420</v>
      </c>
      <c r="P36" s="10"/>
    </row>
    <row r="37" spans="1:16" x14ac:dyDescent="0.3">
      <c r="A37" s="10" t="s">
        <v>307</v>
      </c>
      <c r="B37" s="10" t="s">
        <v>308</v>
      </c>
      <c r="C37" s="10" t="s">
        <v>517</v>
      </c>
      <c r="D37" s="10" t="s">
        <v>518</v>
      </c>
      <c r="E37" s="10" t="s">
        <v>423</v>
      </c>
      <c r="F37" s="10" t="s">
        <v>440</v>
      </c>
      <c r="G37" s="13" t="s">
        <v>420</v>
      </c>
      <c r="H37" s="13"/>
      <c r="I37" s="10"/>
      <c r="J37" s="10"/>
      <c r="K37" s="10"/>
      <c r="L37" s="10" t="s">
        <v>519</v>
      </c>
      <c r="M37" s="13" t="s">
        <v>420</v>
      </c>
      <c r="N37" s="13" t="s">
        <v>420</v>
      </c>
      <c r="O37" s="13" t="s">
        <v>420</v>
      </c>
      <c r="P37" s="10"/>
    </row>
    <row r="38" spans="1:16" x14ac:dyDescent="0.3">
      <c r="A38" s="10" t="s">
        <v>307</v>
      </c>
      <c r="B38" s="10" t="s">
        <v>308</v>
      </c>
      <c r="C38" s="10" t="s">
        <v>520</v>
      </c>
      <c r="D38" s="10" t="s">
        <v>520</v>
      </c>
      <c r="E38" s="10" t="s">
        <v>423</v>
      </c>
      <c r="F38" s="10" t="s">
        <v>424</v>
      </c>
      <c r="G38" s="13" t="s">
        <v>420</v>
      </c>
      <c r="H38" s="13"/>
      <c r="I38" s="10"/>
      <c r="J38" s="10"/>
      <c r="K38" s="10"/>
      <c r="L38" s="10" t="s">
        <v>521</v>
      </c>
      <c r="M38" s="13" t="s">
        <v>420</v>
      </c>
      <c r="N38" s="13" t="s">
        <v>420</v>
      </c>
      <c r="O38" s="13" t="s">
        <v>420</v>
      </c>
      <c r="P38" s="10"/>
    </row>
    <row r="39" spans="1:16" x14ac:dyDescent="0.3">
      <c r="A39" s="10" t="s">
        <v>307</v>
      </c>
      <c r="B39" s="10" t="s">
        <v>308</v>
      </c>
      <c r="C39" s="10" t="s">
        <v>522</v>
      </c>
      <c r="D39" s="10" t="s">
        <v>523</v>
      </c>
      <c r="E39" s="10" t="s">
        <v>423</v>
      </c>
      <c r="F39" s="10" t="s">
        <v>524</v>
      </c>
      <c r="G39" s="13" t="s">
        <v>420</v>
      </c>
      <c r="H39" s="13"/>
      <c r="I39" s="10"/>
      <c r="J39" s="10"/>
      <c r="K39" s="10"/>
      <c r="L39" s="10" t="s">
        <v>525</v>
      </c>
      <c r="M39" s="13" t="s">
        <v>420</v>
      </c>
      <c r="N39" s="13" t="s">
        <v>420</v>
      </c>
      <c r="O39" s="13" t="s">
        <v>420</v>
      </c>
      <c r="P39" s="10" t="s">
        <v>526</v>
      </c>
    </row>
    <row r="40" spans="1:16" x14ac:dyDescent="0.3">
      <c r="A40" s="10" t="s">
        <v>307</v>
      </c>
      <c r="B40" s="10" t="s">
        <v>308</v>
      </c>
      <c r="C40" s="10" t="s">
        <v>527</v>
      </c>
      <c r="D40" s="10" t="s">
        <v>528</v>
      </c>
      <c r="E40" s="10" t="s">
        <v>423</v>
      </c>
      <c r="F40" s="10" t="s">
        <v>424</v>
      </c>
      <c r="G40" s="13" t="s">
        <v>420</v>
      </c>
      <c r="H40" s="13"/>
      <c r="I40" s="10"/>
      <c r="J40" s="10"/>
      <c r="K40" s="10"/>
      <c r="L40" s="10"/>
      <c r="M40" s="13" t="s">
        <v>420</v>
      </c>
      <c r="N40" s="13" t="s">
        <v>420</v>
      </c>
      <c r="O40" s="13" t="s">
        <v>420</v>
      </c>
      <c r="P40" s="10"/>
    </row>
    <row r="41" spans="1:16" x14ac:dyDescent="0.3">
      <c r="A41" s="10" t="s">
        <v>307</v>
      </c>
      <c r="B41" s="10" t="s">
        <v>308</v>
      </c>
      <c r="C41" s="10" t="s">
        <v>529</v>
      </c>
      <c r="D41" s="10" t="s">
        <v>529</v>
      </c>
      <c r="E41" s="10" t="s">
        <v>423</v>
      </c>
      <c r="F41" s="10" t="s">
        <v>434</v>
      </c>
      <c r="G41" s="13" t="s">
        <v>420</v>
      </c>
      <c r="H41" s="13"/>
      <c r="I41" s="10"/>
      <c r="J41" s="10"/>
      <c r="K41" s="10"/>
      <c r="L41" s="10"/>
      <c r="M41" s="13" t="s">
        <v>420</v>
      </c>
      <c r="N41" s="13" t="s">
        <v>420</v>
      </c>
      <c r="O41" s="13" t="s">
        <v>420</v>
      </c>
      <c r="P41" s="10"/>
    </row>
    <row r="42" spans="1:16" x14ac:dyDescent="0.3">
      <c r="A42" s="10" t="s">
        <v>307</v>
      </c>
      <c r="B42" s="10" t="s">
        <v>308</v>
      </c>
      <c r="C42" s="10" t="s">
        <v>530</v>
      </c>
      <c r="D42" s="10" t="s">
        <v>531</v>
      </c>
      <c r="E42" s="10" t="s">
        <v>423</v>
      </c>
      <c r="F42" s="10" t="s">
        <v>440</v>
      </c>
      <c r="G42" s="13" t="s">
        <v>420</v>
      </c>
      <c r="H42" s="13"/>
      <c r="I42" s="10"/>
      <c r="J42" s="10"/>
      <c r="K42" s="10"/>
      <c r="L42" s="10"/>
      <c r="M42" s="13" t="s">
        <v>420</v>
      </c>
      <c r="N42" s="13" t="s">
        <v>420</v>
      </c>
      <c r="O42" s="13" t="s">
        <v>420</v>
      </c>
      <c r="P42" s="10"/>
    </row>
    <row r="43" spans="1:16" x14ac:dyDescent="0.3">
      <c r="A43" s="10" t="s">
        <v>307</v>
      </c>
      <c r="B43" s="10" t="s">
        <v>308</v>
      </c>
      <c r="C43" s="10" t="s">
        <v>532</v>
      </c>
      <c r="D43" s="10" t="s">
        <v>533</v>
      </c>
      <c r="E43" s="10" t="s">
        <v>423</v>
      </c>
      <c r="F43" s="10" t="s">
        <v>534</v>
      </c>
      <c r="G43" s="13" t="s">
        <v>417</v>
      </c>
      <c r="H43" s="13"/>
      <c r="I43" s="10"/>
      <c r="J43" s="10"/>
      <c r="K43" s="10"/>
      <c r="L43" s="10" t="s">
        <v>535</v>
      </c>
      <c r="M43" s="13" t="s">
        <v>420</v>
      </c>
      <c r="N43" s="13" t="s">
        <v>420</v>
      </c>
      <c r="O43" s="13" t="s">
        <v>420</v>
      </c>
      <c r="P43" s="10" t="s">
        <v>536</v>
      </c>
    </row>
    <row r="44" spans="1:16" x14ac:dyDescent="0.3">
      <c r="A44" s="10" t="s">
        <v>307</v>
      </c>
      <c r="B44" s="10" t="s">
        <v>308</v>
      </c>
      <c r="C44" s="10" t="s">
        <v>537</v>
      </c>
      <c r="D44" s="10" t="s">
        <v>538</v>
      </c>
      <c r="E44" s="10" t="s">
        <v>423</v>
      </c>
      <c r="F44" s="10" t="s">
        <v>473</v>
      </c>
      <c r="G44" s="13" t="s">
        <v>420</v>
      </c>
      <c r="H44" s="13"/>
      <c r="I44" s="10"/>
      <c r="J44" s="10"/>
      <c r="K44" s="10"/>
      <c r="L44" s="10" t="s">
        <v>521</v>
      </c>
      <c r="M44" s="13"/>
      <c r="N44" s="13" t="s">
        <v>420</v>
      </c>
      <c r="O44" s="13" t="s">
        <v>420</v>
      </c>
      <c r="P44" s="10"/>
    </row>
    <row r="45" spans="1:16" x14ac:dyDescent="0.3">
      <c r="A45" s="10" t="s">
        <v>307</v>
      </c>
      <c r="B45" s="10" t="s">
        <v>308</v>
      </c>
      <c r="C45" s="10" t="s">
        <v>452</v>
      </c>
      <c r="D45" s="10" t="s">
        <v>452</v>
      </c>
      <c r="E45" s="10" t="s">
        <v>539</v>
      </c>
      <c r="F45" s="10" t="s">
        <v>449</v>
      </c>
      <c r="G45" s="13" t="s">
        <v>417</v>
      </c>
      <c r="H45" s="13"/>
      <c r="I45" s="10"/>
      <c r="J45" s="10" t="s">
        <v>540</v>
      </c>
      <c r="K45" s="10"/>
      <c r="L45" s="10"/>
      <c r="M45" s="13"/>
      <c r="N45" s="13"/>
      <c r="O45" s="13" t="s">
        <v>420</v>
      </c>
      <c r="P45" s="10" t="s">
        <v>541</v>
      </c>
    </row>
    <row r="46" spans="1:16" x14ac:dyDescent="0.3">
      <c r="A46" s="10" t="s">
        <v>307</v>
      </c>
      <c r="B46" s="10" t="s">
        <v>308</v>
      </c>
      <c r="C46" s="10" t="s">
        <v>542</v>
      </c>
      <c r="D46" s="10" t="s">
        <v>543</v>
      </c>
      <c r="E46" s="10" t="s">
        <v>423</v>
      </c>
      <c r="F46" s="10" t="s">
        <v>473</v>
      </c>
      <c r="G46" s="13" t="s">
        <v>420</v>
      </c>
      <c r="H46" s="13"/>
      <c r="I46" s="10"/>
      <c r="J46" s="10"/>
      <c r="K46" s="10"/>
      <c r="L46" s="10"/>
      <c r="M46" s="13"/>
      <c r="N46" s="13"/>
      <c r="O46" s="13" t="s">
        <v>420</v>
      </c>
      <c r="P46" s="10"/>
    </row>
    <row r="47" spans="1:16" ht="26.4" x14ac:dyDescent="0.3">
      <c r="A47" s="10" t="s">
        <v>307</v>
      </c>
      <c r="B47" s="10" t="s">
        <v>308</v>
      </c>
      <c r="C47" s="10" t="s">
        <v>544</v>
      </c>
      <c r="D47" s="10" t="s">
        <v>545</v>
      </c>
      <c r="E47" s="10" t="s">
        <v>546</v>
      </c>
      <c r="F47" s="10" t="s">
        <v>547</v>
      </c>
      <c r="G47" s="13" t="s">
        <v>417</v>
      </c>
      <c r="H47" s="13"/>
      <c r="I47" s="10"/>
      <c r="J47" s="10" t="s">
        <v>548</v>
      </c>
      <c r="K47" s="10" t="s">
        <v>549</v>
      </c>
      <c r="L47" s="10"/>
      <c r="M47" s="13"/>
      <c r="N47" s="13"/>
      <c r="O47" s="13" t="s">
        <v>420</v>
      </c>
      <c r="P47" s="10" t="s">
        <v>550</v>
      </c>
    </row>
    <row r="48" spans="1:16" x14ac:dyDescent="0.3">
      <c r="A48" s="10" t="s">
        <v>307</v>
      </c>
      <c r="B48" s="10" t="s">
        <v>308</v>
      </c>
      <c r="C48" s="10" t="s">
        <v>551</v>
      </c>
      <c r="D48" s="10" t="s">
        <v>552</v>
      </c>
      <c r="E48" s="10" t="s">
        <v>477</v>
      </c>
      <c r="F48" s="10" t="s">
        <v>478</v>
      </c>
      <c r="G48" s="13" t="s">
        <v>420</v>
      </c>
      <c r="H48" s="13"/>
      <c r="I48" s="10"/>
      <c r="J48" s="10"/>
      <c r="K48" s="10"/>
      <c r="L48" s="10"/>
      <c r="M48" s="13"/>
      <c r="N48" s="13"/>
      <c r="O48" s="13" t="s">
        <v>420</v>
      </c>
      <c r="P48" s="10"/>
    </row>
    <row r="49" spans="1:16" x14ac:dyDescent="0.3">
      <c r="A49" s="10" t="s">
        <v>307</v>
      </c>
      <c r="B49" s="10" t="s">
        <v>308</v>
      </c>
      <c r="C49" s="10" t="s">
        <v>479</v>
      </c>
      <c r="D49" s="10" t="s">
        <v>480</v>
      </c>
      <c r="E49" s="10" t="s">
        <v>477</v>
      </c>
      <c r="F49" s="10" t="s">
        <v>478</v>
      </c>
      <c r="G49" s="13" t="s">
        <v>417</v>
      </c>
      <c r="H49" s="13"/>
      <c r="I49" s="10"/>
      <c r="J49" s="10" t="s">
        <v>481</v>
      </c>
      <c r="K49" s="10"/>
      <c r="L49" s="10" t="s">
        <v>482</v>
      </c>
      <c r="M49" s="13"/>
      <c r="N49" s="13"/>
      <c r="O49" s="13" t="s">
        <v>420</v>
      </c>
      <c r="P49" s="10" t="s">
        <v>483</v>
      </c>
    </row>
    <row r="50" spans="1:16" x14ac:dyDescent="0.3">
      <c r="A50" s="10" t="s">
        <v>307</v>
      </c>
      <c r="B50" s="10" t="s">
        <v>308</v>
      </c>
      <c r="C50" s="10" t="s">
        <v>484</v>
      </c>
      <c r="D50" s="10" t="s">
        <v>485</v>
      </c>
      <c r="E50" s="10" t="s">
        <v>477</v>
      </c>
      <c r="F50" s="10" t="s">
        <v>478</v>
      </c>
      <c r="G50" s="13" t="s">
        <v>417</v>
      </c>
      <c r="H50" s="13"/>
      <c r="I50" s="10"/>
      <c r="J50" s="10" t="s">
        <v>481</v>
      </c>
      <c r="K50" s="10"/>
      <c r="L50" s="10" t="s">
        <v>482</v>
      </c>
      <c r="M50" s="13"/>
      <c r="N50" s="13"/>
      <c r="O50" s="13" t="s">
        <v>420</v>
      </c>
      <c r="P50" s="10" t="s">
        <v>486</v>
      </c>
    </row>
    <row r="51" spans="1:16" ht="26.4" x14ac:dyDescent="0.3">
      <c r="A51" s="11" t="s">
        <v>310</v>
      </c>
      <c r="B51" s="11" t="s">
        <v>311</v>
      </c>
      <c r="C51" s="11" t="s">
        <v>414</v>
      </c>
      <c r="D51" s="11" t="s">
        <v>414</v>
      </c>
      <c r="E51" s="11" t="s">
        <v>415</v>
      </c>
      <c r="F51" s="11" t="s">
        <v>416</v>
      </c>
      <c r="G51" s="12" t="s">
        <v>417</v>
      </c>
      <c r="H51" s="12" t="s">
        <v>418</v>
      </c>
      <c r="I51" s="11"/>
      <c r="J51" s="11" t="s">
        <v>419</v>
      </c>
      <c r="K51" s="11"/>
      <c r="L51" s="11"/>
      <c r="M51" s="12"/>
      <c r="N51" s="12"/>
      <c r="O51" s="12" t="s">
        <v>420</v>
      </c>
      <c r="P51" s="11" t="s">
        <v>421</v>
      </c>
    </row>
    <row r="52" spans="1:16" x14ac:dyDescent="0.3">
      <c r="A52" s="11" t="s">
        <v>310</v>
      </c>
      <c r="B52" s="11" t="s">
        <v>311</v>
      </c>
      <c r="C52" s="11" t="s">
        <v>553</v>
      </c>
      <c r="D52" s="11" t="s">
        <v>553</v>
      </c>
      <c r="E52" s="11" t="s">
        <v>423</v>
      </c>
      <c r="F52" s="11" t="s">
        <v>554</v>
      </c>
      <c r="G52" s="12" t="s">
        <v>417</v>
      </c>
      <c r="H52" s="12"/>
      <c r="I52" s="11"/>
      <c r="J52" s="11"/>
      <c r="K52" s="11"/>
      <c r="L52" s="11" t="s">
        <v>555</v>
      </c>
      <c r="M52" s="12" t="s">
        <v>420</v>
      </c>
      <c r="N52" s="12" t="s">
        <v>420</v>
      </c>
      <c r="O52" s="12" t="s">
        <v>420</v>
      </c>
      <c r="P52" s="11"/>
    </row>
    <row r="53" spans="1:16" x14ac:dyDescent="0.3">
      <c r="A53" s="11" t="s">
        <v>310</v>
      </c>
      <c r="B53" s="11" t="s">
        <v>311</v>
      </c>
      <c r="C53" s="11" t="s">
        <v>556</v>
      </c>
      <c r="D53" s="11" t="s">
        <v>556</v>
      </c>
      <c r="E53" s="11" t="s">
        <v>423</v>
      </c>
      <c r="F53" s="11" t="s">
        <v>557</v>
      </c>
      <c r="G53" s="12" t="s">
        <v>417</v>
      </c>
      <c r="H53" s="12" t="s">
        <v>425</v>
      </c>
      <c r="I53" s="11"/>
      <c r="J53" s="11"/>
      <c r="K53" s="11"/>
      <c r="L53" s="11"/>
      <c r="M53" s="12"/>
      <c r="N53" s="12"/>
      <c r="O53" s="12" t="s">
        <v>420</v>
      </c>
      <c r="P53" s="11" t="s">
        <v>558</v>
      </c>
    </row>
    <row r="54" spans="1:16" x14ac:dyDescent="0.3">
      <c r="A54" s="11" t="s">
        <v>310</v>
      </c>
      <c r="B54" s="11" t="s">
        <v>311</v>
      </c>
      <c r="C54" s="11" t="s">
        <v>559</v>
      </c>
      <c r="D54" s="11" t="s">
        <v>559</v>
      </c>
      <c r="E54" s="11" t="s">
        <v>423</v>
      </c>
      <c r="F54" s="11" t="s">
        <v>434</v>
      </c>
      <c r="G54" s="12" t="s">
        <v>417</v>
      </c>
      <c r="H54" s="12"/>
      <c r="I54" s="11"/>
      <c r="J54" s="11"/>
      <c r="K54" s="11"/>
      <c r="L54" s="11" t="s">
        <v>560</v>
      </c>
      <c r="M54" s="12" t="s">
        <v>420</v>
      </c>
      <c r="N54" s="12" t="s">
        <v>420</v>
      </c>
      <c r="O54" s="12" t="s">
        <v>420</v>
      </c>
      <c r="P54" s="11"/>
    </row>
    <row r="55" spans="1:16" x14ac:dyDescent="0.3">
      <c r="A55" s="11" t="s">
        <v>310</v>
      </c>
      <c r="B55" s="11" t="s">
        <v>311</v>
      </c>
      <c r="C55" s="11" t="s">
        <v>532</v>
      </c>
      <c r="D55" s="11" t="s">
        <v>533</v>
      </c>
      <c r="E55" s="11" t="s">
        <v>423</v>
      </c>
      <c r="F55" s="11" t="s">
        <v>534</v>
      </c>
      <c r="G55" s="12" t="s">
        <v>417</v>
      </c>
      <c r="H55" s="12"/>
      <c r="I55" s="11"/>
      <c r="J55" s="11"/>
      <c r="K55" s="11"/>
      <c r="L55" s="11" t="s">
        <v>535</v>
      </c>
      <c r="M55" s="12" t="s">
        <v>420</v>
      </c>
      <c r="N55" s="12" t="s">
        <v>420</v>
      </c>
      <c r="O55" s="12" t="s">
        <v>420</v>
      </c>
      <c r="P55" s="11"/>
    </row>
    <row r="56" spans="1:16" x14ac:dyDescent="0.3">
      <c r="A56" s="11" t="s">
        <v>310</v>
      </c>
      <c r="B56" s="11" t="s">
        <v>311</v>
      </c>
      <c r="C56" s="11" t="s">
        <v>561</v>
      </c>
      <c r="D56" s="11" t="s">
        <v>561</v>
      </c>
      <c r="E56" s="11" t="s">
        <v>423</v>
      </c>
      <c r="F56" s="11" t="s">
        <v>524</v>
      </c>
      <c r="G56" s="12" t="s">
        <v>417</v>
      </c>
      <c r="H56" s="12"/>
      <c r="I56" s="11"/>
      <c r="J56" s="11"/>
      <c r="K56" s="11"/>
      <c r="L56" s="11" t="s">
        <v>562</v>
      </c>
      <c r="M56" s="12" t="s">
        <v>420</v>
      </c>
      <c r="N56" s="12" t="s">
        <v>420</v>
      </c>
      <c r="O56" s="12" t="s">
        <v>420</v>
      </c>
      <c r="P56" s="11" t="s">
        <v>563</v>
      </c>
    </row>
    <row r="57" spans="1:16" x14ac:dyDescent="0.3">
      <c r="A57" s="11" t="s">
        <v>310</v>
      </c>
      <c r="B57" s="11" t="s">
        <v>311</v>
      </c>
      <c r="C57" s="11" t="s">
        <v>511</v>
      </c>
      <c r="D57" s="11" t="s">
        <v>511</v>
      </c>
      <c r="E57" s="11" t="s">
        <v>423</v>
      </c>
      <c r="F57" s="11" t="s">
        <v>512</v>
      </c>
      <c r="G57" s="12" t="s">
        <v>420</v>
      </c>
      <c r="H57" s="12"/>
      <c r="I57" s="11"/>
      <c r="J57" s="11"/>
      <c r="K57" s="11"/>
      <c r="L57" s="11"/>
      <c r="M57" s="12" t="s">
        <v>420</v>
      </c>
      <c r="N57" s="12" t="s">
        <v>420</v>
      </c>
      <c r="O57" s="12" t="s">
        <v>420</v>
      </c>
      <c r="P57" s="11"/>
    </row>
    <row r="58" spans="1:16" x14ac:dyDescent="0.3">
      <c r="A58" s="11" t="s">
        <v>310</v>
      </c>
      <c r="B58" s="11" t="s">
        <v>311</v>
      </c>
      <c r="C58" s="11" t="s">
        <v>564</v>
      </c>
      <c r="D58" s="11" t="s">
        <v>564</v>
      </c>
      <c r="E58" s="11" t="s">
        <v>546</v>
      </c>
      <c r="F58" s="11" t="s">
        <v>565</v>
      </c>
      <c r="G58" s="12" t="s">
        <v>420</v>
      </c>
      <c r="H58" s="12"/>
      <c r="I58" s="11"/>
      <c r="J58" s="11"/>
      <c r="K58" s="11"/>
      <c r="L58" s="11" t="s">
        <v>566</v>
      </c>
      <c r="M58" s="12" t="s">
        <v>420</v>
      </c>
      <c r="N58" s="12" t="s">
        <v>420</v>
      </c>
      <c r="O58" s="12" t="s">
        <v>420</v>
      </c>
      <c r="P58" s="11"/>
    </row>
    <row r="59" spans="1:16" x14ac:dyDescent="0.3">
      <c r="A59" s="11" t="s">
        <v>310</v>
      </c>
      <c r="B59" s="11" t="s">
        <v>311</v>
      </c>
      <c r="C59" s="11" t="s">
        <v>567</v>
      </c>
      <c r="D59" s="11" t="s">
        <v>567</v>
      </c>
      <c r="E59" s="11" t="s">
        <v>546</v>
      </c>
      <c r="F59" s="11" t="s">
        <v>565</v>
      </c>
      <c r="G59" s="12" t="s">
        <v>420</v>
      </c>
      <c r="H59" s="12"/>
      <c r="I59" s="11"/>
      <c r="J59" s="11"/>
      <c r="K59" s="11"/>
      <c r="L59" s="11" t="s">
        <v>568</v>
      </c>
      <c r="M59" s="12" t="s">
        <v>420</v>
      </c>
      <c r="N59" s="12" t="s">
        <v>420</v>
      </c>
      <c r="O59" s="12" t="s">
        <v>420</v>
      </c>
      <c r="P59" s="11"/>
    </row>
    <row r="60" spans="1:16" x14ac:dyDescent="0.3">
      <c r="A60" s="11" t="s">
        <v>310</v>
      </c>
      <c r="B60" s="11" t="s">
        <v>311</v>
      </c>
      <c r="C60" s="11" t="s">
        <v>569</v>
      </c>
      <c r="D60" s="11" t="s">
        <v>570</v>
      </c>
      <c r="E60" s="11" t="s">
        <v>423</v>
      </c>
      <c r="F60" s="11" t="s">
        <v>473</v>
      </c>
      <c r="G60" s="12" t="s">
        <v>420</v>
      </c>
      <c r="H60" s="12"/>
      <c r="I60" s="11"/>
      <c r="J60" s="11"/>
      <c r="K60" s="11"/>
      <c r="L60" s="11" t="s">
        <v>521</v>
      </c>
      <c r="M60" s="12" t="s">
        <v>420</v>
      </c>
      <c r="N60" s="12" t="s">
        <v>420</v>
      </c>
      <c r="O60" s="12" t="s">
        <v>420</v>
      </c>
      <c r="P60" s="11"/>
    </row>
    <row r="61" spans="1:16" x14ac:dyDescent="0.3">
      <c r="A61" s="11" t="s">
        <v>310</v>
      </c>
      <c r="B61" s="11" t="s">
        <v>311</v>
      </c>
      <c r="C61" s="11" t="s">
        <v>571</v>
      </c>
      <c r="D61" s="11" t="s">
        <v>571</v>
      </c>
      <c r="E61" s="11" t="s">
        <v>458</v>
      </c>
      <c r="F61" s="11" t="s">
        <v>459</v>
      </c>
      <c r="G61" s="12" t="s">
        <v>417</v>
      </c>
      <c r="H61" s="12"/>
      <c r="I61" s="11"/>
      <c r="J61" s="11" t="s">
        <v>460</v>
      </c>
      <c r="K61" s="11"/>
      <c r="L61" s="11"/>
      <c r="M61" s="12" t="s">
        <v>420</v>
      </c>
      <c r="N61" s="12" t="s">
        <v>420</v>
      </c>
      <c r="O61" s="12" t="s">
        <v>420</v>
      </c>
      <c r="P61" s="11"/>
    </row>
    <row r="62" spans="1:16" x14ac:dyDescent="0.3">
      <c r="A62" s="11" t="s">
        <v>310</v>
      </c>
      <c r="B62" s="11" t="s">
        <v>311</v>
      </c>
      <c r="C62" s="11" t="s">
        <v>572</v>
      </c>
      <c r="D62" s="11" t="s">
        <v>572</v>
      </c>
      <c r="E62" s="11" t="s">
        <v>458</v>
      </c>
      <c r="F62" s="11" t="s">
        <v>459</v>
      </c>
      <c r="G62" s="12" t="s">
        <v>417</v>
      </c>
      <c r="H62" s="12"/>
      <c r="I62" s="11"/>
      <c r="J62" s="11" t="s">
        <v>573</v>
      </c>
      <c r="K62" s="11"/>
      <c r="L62" s="11"/>
      <c r="M62" s="12" t="s">
        <v>420</v>
      </c>
      <c r="N62" s="12" t="s">
        <v>420</v>
      </c>
      <c r="O62" s="12" t="s">
        <v>420</v>
      </c>
      <c r="P62" s="11"/>
    </row>
    <row r="63" spans="1:16" x14ac:dyDescent="0.3">
      <c r="A63" s="11" t="s">
        <v>310</v>
      </c>
      <c r="B63" s="11" t="s">
        <v>311</v>
      </c>
      <c r="C63" s="11" t="s">
        <v>479</v>
      </c>
      <c r="D63" s="11" t="s">
        <v>480</v>
      </c>
      <c r="E63" s="11" t="s">
        <v>477</v>
      </c>
      <c r="F63" s="11" t="s">
        <v>478</v>
      </c>
      <c r="G63" s="12" t="s">
        <v>417</v>
      </c>
      <c r="H63" s="12"/>
      <c r="I63" s="11"/>
      <c r="J63" s="11" t="s">
        <v>481</v>
      </c>
      <c r="K63" s="11"/>
      <c r="L63" s="11" t="s">
        <v>482</v>
      </c>
      <c r="M63" s="12"/>
      <c r="N63" s="12"/>
      <c r="O63" s="12" t="s">
        <v>420</v>
      </c>
      <c r="P63" s="11" t="s">
        <v>483</v>
      </c>
    </row>
    <row r="64" spans="1:16" x14ac:dyDescent="0.3">
      <c r="A64" s="11" t="s">
        <v>310</v>
      </c>
      <c r="B64" s="11" t="s">
        <v>311</v>
      </c>
      <c r="C64" s="11" t="s">
        <v>484</v>
      </c>
      <c r="D64" s="11" t="s">
        <v>485</v>
      </c>
      <c r="E64" s="11" t="s">
        <v>477</v>
      </c>
      <c r="F64" s="11" t="s">
        <v>478</v>
      </c>
      <c r="G64" s="12" t="s">
        <v>417</v>
      </c>
      <c r="H64" s="12"/>
      <c r="I64" s="11"/>
      <c r="J64" s="11" t="s">
        <v>481</v>
      </c>
      <c r="K64" s="11"/>
      <c r="L64" s="11" t="s">
        <v>482</v>
      </c>
      <c r="M64" s="12"/>
      <c r="N64" s="12"/>
      <c r="O64" s="12" t="s">
        <v>420</v>
      </c>
      <c r="P64" s="11" t="s">
        <v>486</v>
      </c>
    </row>
    <row r="65" spans="1:16" ht="26.4" x14ac:dyDescent="0.3">
      <c r="A65" s="15" t="s">
        <v>314</v>
      </c>
      <c r="B65" s="15" t="s">
        <v>315</v>
      </c>
      <c r="C65" s="15" t="s">
        <v>414</v>
      </c>
      <c r="D65" s="15" t="s">
        <v>414</v>
      </c>
      <c r="E65" s="15" t="s">
        <v>415</v>
      </c>
      <c r="F65" s="15" t="s">
        <v>416</v>
      </c>
      <c r="G65" s="16" t="s">
        <v>417</v>
      </c>
      <c r="H65" s="16" t="s">
        <v>418</v>
      </c>
      <c r="I65" s="15"/>
      <c r="J65" s="15" t="s">
        <v>419</v>
      </c>
      <c r="K65" s="15"/>
      <c r="L65" s="15"/>
      <c r="M65" s="16"/>
      <c r="N65" s="16"/>
      <c r="O65" s="16" t="s">
        <v>420</v>
      </c>
      <c r="P65" s="15" t="s">
        <v>421</v>
      </c>
    </row>
    <row r="66" spans="1:16" x14ac:dyDescent="0.3">
      <c r="A66" s="15" t="s">
        <v>314</v>
      </c>
      <c r="B66" s="15" t="s">
        <v>315</v>
      </c>
      <c r="C66" s="15" t="s">
        <v>553</v>
      </c>
      <c r="D66" s="15" t="s">
        <v>553</v>
      </c>
      <c r="E66" s="15" t="s">
        <v>423</v>
      </c>
      <c r="F66" s="15" t="s">
        <v>434</v>
      </c>
      <c r="G66" s="16" t="s">
        <v>417</v>
      </c>
      <c r="H66" s="16" t="s">
        <v>425</v>
      </c>
      <c r="I66" s="15"/>
      <c r="J66" s="15"/>
      <c r="K66" s="15"/>
      <c r="L66" s="15" t="s">
        <v>435</v>
      </c>
      <c r="M66" s="16" t="s">
        <v>420</v>
      </c>
      <c r="N66" s="16" t="s">
        <v>420</v>
      </c>
      <c r="O66" s="16" t="s">
        <v>420</v>
      </c>
      <c r="P66" s="15"/>
    </row>
    <row r="67" spans="1:16" x14ac:dyDescent="0.3">
      <c r="A67" s="15" t="s">
        <v>314</v>
      </c>
      <c r="B67" s="15" t="s">
        <v>315</v>
      </c>
      <c r="C67" s="15" t="s">
        <v>556</v>
      </c>
      <c r="D67" s="15" t="s">
        <v>556</v>
      </c>
      <c r="E67" s="15" t="s">
        <v>423</v>
      </c>
      <c r="F67" s="15" t="s">
        <v>574</v>
      </c>
      <c r="G67" s="16" t="s">
        <v>417</v>
      </c>
      <c r="H67" s="16" t="s">
        <v>425</v>
      </c>
      <c r="I67" s="15"/>
      <c r="J67" s="15"/>
      <c r="K67" s="15"/>
      <c r="L67" s="15"/>
      <c r="M67" s="16"/>
      <c r="N67" s="16"/>
      <c r="O67" s="16" t="s">
        <v>420</v>
      </c>
      <c r="P67" s="15"/>
    </row>
    <row r="68" spans="1:16" x14ac:dyDescent="0.3">
      <c r="A68" s="15" t="s">
        <v>314</v>
      </c>
      <c r="B68" s="15" t="s">
        <v>315</v>
      </c>
      <c r="C68" s="15" t="s">
        <v>511</v>
      </c>
      <c r="D68" s="15" t="s">
        <v>511</v>
      </c>
      <c r="E68" s="15" t="s">
        <v>423</v>
      </c>
      <c r="F68" s="15" t="s">
        <v>473</v>
      </c>
      <c r="G68" s="16" t="s">
        <v>420</v>
      </c>
      <c r="H68" s="16"/>
      <c r="I68" s="15"/>
      <c r="J68" s="15"/>
      <c r="K68" s="15"/>
      <c r="L68" s="15"/>
      <c r="M68" s="16" t="s">
        <v>420</v>
      </c>
      <c r="N68" s="16" t="s">
        <v>420</v>
      </c>
      <c r="O68" s="16" t="s">
        <v>420</v>
      </c>
      <c r="P68" s="15"/>
    </row>
    <row r="69" spans="1:16" x14ac:dyDescent="0.3">
      <c r="A69" s="15" t="s">
        <v>314</v>
      </c>
      <c r="B69" s="15" t="s">
        <v>315</v>
      </c>
      <c r="C69" s="15" t="s">
        <v>575</v>
      </c>
      <c r="D69" s="15" t="s">
        <v>576</v>
      </c>
      <c r="E69" s="15" t="s">
        <v>423</v>
      </c>
      <c r="F69" s="15" t="s">
        <v>473</v>
      </c>
      <c r="G69" s="16" t="s">
        <v>420</v>
      </c>
      <c r="H69" s="16"/>
      <c r="I69" s="15"/>
      <c r="J69" s="15"/>
      <c r="K69" s="15"/>
      <c r="L69" s="15" t="s">
        <v>521</v>
      </c>
      <c r="M69" s="16" t="s">
        <v>420</v>
      </c>
      <c r="N69" s="16" t="s">
        <v>420</v>
      </c>
      <c r="O69" s="16" t="s">
        <v>420</v>
      </c>
      <c r="P69" s="15"/>
    </row>
    <row r="70" spans="1:16" x14ac:dyDescent="0.3">
      <c r="A70" s="15" t="s">
        <v>314</v>
      </c>
      <c r="B70" s="15" t="s">
        <v>315</v>
      </c>
      <c r="C70" s="15" t="s">
        <v>577</v>
      </c>
      <c r="D70" s="15" t="s">
        <v>578</v>
      </c>
      <c r="E70" s="15" t="s">
        <v>314</v>
      </c>
      <c r="F70" s="15" t="s">
        <v>416</v>
      </c>
      <c r="G70" s="16" t="s">
        <v>420</v>
      </c>
      <c r="H70" s="16" t="s">
        <v>489</v>
      </c>
      <c r="I70" s="15" t="s">
        <v>579</v>
      </c>
      <c r="J70" s="15"/>
      <c r="K70" s="15"/>
      <c r="L70" s="15"/>
      <c r="M70" s="16" t="s">
        <v>420</v>
      </c>
      <c r="N70" s="16" t="s">
        <v>420</v>
      </c>
      <c r="O70" s="16" t="s">
        <v>420</v>
      </c>
      <c r="P70" s="15" t="s">
        <v>580</v>
      </c>
    </row>
    <row r="71" spans="1:16" x14ac:dyDescent="0.3">
      <c r="A71" s="15" t="s">
        <v>314</v>
      </c>
      <c r="B71" s="15" t="s">
        <v>315</v>
      </c>
      <c r="C71" s="15" t="s">
        <v>581</v>
      </c>
      <c r="D71" s="15" t="s">
        <v>582</v>
      </c>
      <c r="E71" s="15" t="s">
        <v>583</v>
      </c>
      <c r="F71" s="15" t="s">
        <v>584</v>
      </c>
      <c r="G71" s="16" t="s">
        <v>417</v>
      </c>
      <c r="H71" s="16"/>
      <c r="I71" s="15"/>
      <c r="J71" s="15" t="s">
        <v>585</v>
      </c>
      <c r="K71" s="15"/>
      <c r="L71" s="15"/>
      <c r="M71" s="16" t="s">
        <v>420</v>
      </c>
      <c r="N71" s="16" t="s">
        <v>420</v>
      </c>
      <c r="O71" s="16" t="s">
        <v>420</v>
      </c>
      <c r="P71" s="15"/>
    </row>
    <row r="72" spans="1:16" x14ac:dyDescent="0.3">
      <c r="A72" s="15" t="s">
        <v>314</v>
      </c>
      <c r="B72" s="15" t="s">
        <v>315</v>
      </c>
      <c r="C72" s="15" t="s">
        <v>572</v>
      </c>
      <c r="D72" s="15" t="s">
        <v>572</v>
      </c>
      <c r="E72" s="15" t="s">
        <v>458</v>
      </c>
      <c r="F72" s="15" t="s">
        <v>459</v>
      </c>
      <c r="G72" s="16" t="s">
        <v>417</v>
      </c>
      <c r="H72" s="16"/>
      <c r="I72" s="15"/>
      <c r="J72" s="15" t="s">
        <v>573</v>
      </c>
      <c r="K72" s="15"/>
      <c r="L72" s="15"/>
      <c r="M72" s="16" t="s">
        <v>420</v>
      </c>
      <c r="N72" s="16" t="s">
        <v>420</v>
      </c>
      <c r="O72" s="16" t="s">
        <v>420</v>
      </c>
      <c r="P72" s="15"/>
    </row>
    <row r="73" spans="1:16" x14ac:dyDescent="0.3">
      <c r="A73" s="15" t="s">
        <v>314</v>
      </c>
      <c r="B73" s="15" t="s">
        <v>315</v>
      </c>
      <c r="C73" s="15" t="s">
        <v>479</v>
      </c>
      <c r="D73" s="15" t="s">
        <v>480</v>
      </c>
      <c r="E73" s="15" t="s">
        <v>477</v>
      </c>
      <c r="F73" s="15" t="s">
        <v>478</v>
      </c>
      <c r="G73" s="16" t="s">
        <v>417</v>
      </c>
      <c r="H73" s="16"/>
      <c r="I73" s="15"/>
      <c r="J73" s="15" t="s">
        <v>481</v>
      </c>
      <c r="K73" s="15"/>
      <c r="L73" s="15" t="s">
        <v>482</v>
      </c>
      <c r="M73" s="16"/>
      <c r="N73" s="16"/>
      <c r="O73" s="16" t="s">
        <v>420</v>
      </c>
      <c r="P73" s="15" t="s">
        <v>483</v>
      </c>
    </row>
    <row r="74" spans="1:16" x14ac:dyDescent="0.3">
      <c r="A74" s="15" t="s">
        <v>314</v>
      </c>
      <c r="B74" s="15" t="s">
        <v>315</v>
      </c>
      <c r="C74" s="15" t="s">
        <v>484</v>
      </c>
      <c r="D74" s="15" t="s">
        <v>485</v>
      </c>
      <c r="E74" s="15" t="s">
        <v>477</v>
      </c>
      <c r="F74" s="15" t="s">
        <v>478</v>
      </c>
      <c r="G74" s="16" t="s">
        <v>417</v>
      </c>
      <c r="H74" s="16"/>
      <c r="I74" s="15"/>
      <c r="J74" s="15" t="s">
        <v>481</v>
      </c>
      <c r="K74" s="15"/>
      <c r="L74" s="15" t="s">
        <v>482</v>
      </c>
      <c r="M74" s="16"/>
      <c r="N74" s="16"/>
      <c r="O74" s="16" t="s">
        <v>420</v>
      </c>
      <c r="P74" s="15" t="s">
        <v>486</v>
      </c>
    </row>
    <row r="75" spans="1:16" ht="26.4" x14ac:dyDescent="0.3">
      <c r="A75" s="11" t="s">
        <v>317</v>
      </c>
      <c r="B75" s="11" t="s">
        <v>318</v>
      </c>
      <c r="C75" s="11" t="s">
        <v>414</v>
      </c>
      <c r="D75" s="11" t="s">
        <v>414</v>
      </c>
      <c r="E75" s="11" t="s">
        <v>415</v>
      </c>
      <c r="F75" s="11" t="s">
        <v>416</v>
      </c>
      <c r="G75" s="12" t="s">
        <v>417</v>
      </c>
      <c r="H75" s="12" t="s">
        <v>418</v>
      </c>
      <c r="I75" s="11"/>
      <c r="J75" s="11" t="s">
        <v>419</v>
      </c>
      <c r="K75" s="11"/>
      <c r="L75" s="11"/>
      <c r="M75" s="12"/>
      <c r="N75" s="12"/>
      <c r="O75" s="12" t="s">
        <v>420</v>
      </c>
      <c r="P75" s="11" t="s">
        <v>421</v>
      </c>
    </row>
    <row r="76" spans="1:16" x14ac:dyDescent="0.3">
      <c r="A76" s="11" t="s">
        <v>317</v>
      </c>
      <c r="B76" s="11" t="s">
        <v>318</v>
      </c>
      <c r="C76" s="11" t="s">
        <v>553</v>
      </c>
      <c r="D76" s="11" t="s">
        <v>553</v>
      </c>
      <c r="E76" s="11" t="s">
        <v>423</v>
      </c>
      <c r="F76" s="11" t="s">
        <v>524</v>
      </c>
      <c r="G76" s="12" t="s">
        <v>417</v>
      </c>
      <c r="H76" s="12" t="s">
        <v>425</v>
      </c>
      <c r="I76" s="11"/>
      <c r="J76" s="11"/>
      <c r="K76" s="11"/>
      <c r="L76" s="11" t="s">
        <v>586</v>
      </c>
      <c r="M76" s="12" t="s">
        <v>420</v>
      </c>
      <c r="N76" s="12" t="s">
        <v>420</v>
      </c>
      <c r="O76" s="12" t="s">
        <v>420</v>
      </c>
      <c r="P76" s="11"/>
    </row>
    <row r="77" spans="1:16" x14ac:dyDescent="0.3">
      <c r="A77" s="11" t="s">
        <v>317</v>
      </c>
      <c r="B77" s="11" t="s">
        <v>318</v>
      </c>
      <c r="C77" s="11" t="s">
        <v>556</v>
      </c>
      <c r="D77" s="11" t="s">
        <v>556</v>
      </c>
      <c r="E77" s="11" t="s">
        <v>423</v>
      </c>
      <c r="F77" s="11" t="s">
        <v>587</v>
      </c>
      <c r="G77" s="12" t="s">
        <v>417</v>
      </c>
      <c r="H77" s="12" t="s">
        <v>425</v>
      </c>
      <c r="I77" s="11"/>
      <c r="J77" s="11"/>
      <c r="K77" s="11"/>
      <c r="L77" s="11"/>
      <c r="M77" s="12"/>
      <c r="N77" s="12"/>
      <c r="O77" s="12" t="s">
        <v>420</v>
      </c>
      <c r="P77" s="11"/>
    </row>
    <row r="78" spans="1:16" x14ac:dyDescent="0.3">
      <c r="A78" s="11" t="s">
        <v>317</v>
      </c>
      <c r="B78" s="11" t="s">
        <v>318</v>
      </c>
      <c r="C78" s="11" t="s">
        <v>479</v>
      </c>
      <c r="D78" s="11" t="s">
        <v>480</v>
      </c>
      <c r="E78" s="11" t="s">
        <v>477</v>
      </c>
      <c r="F78" s="11" t="s">
        <v>478</v>
      </c>
      <c r="G78" s="12" t="s">
        <v>417</v>
      </c>
      <c r="H78" s="12"/>
      <c r="I78" s="11"/>
      <c r="J78" s="11" t="s">
        <v>481</v>
      </c>
      <c r="K78" s="11"/>
      <c r="L78" s="11" t="s">
        <v>482</v>
      </c>
      <c r="M78" s="12"/>
      <c r="N78" s="12"/>
      <c r="O78" s="12" t="s">
        <v>420</v>
      </c>
      <c r="P78" s="11" t="s">
        <v>483</v>
      </c>
    </row>
    <row r="79" spans="1:16" ht="26.4" x14ac:dyDescent="0.3">
      <c r="A79" s="10" t="s">
        <v>320</v>
      </c>
      <c r="B79" s="10" t="s">
        <v>321</v>
      </c>
      <c r="C79" s="10" t="s">
        <v>414</v>
      </c>
      <c r="D79" s="10" t="s">
        <v>414</v>
      </c>
      <c r="E79" s="10" t="s">
        <v>415</v>
      </c>
      <c r="F79" s="10" t="s">
        <v>416</v>
      </c>
      <c r="G79" s="13" t="s">
        <v>417</v>
      </c>
      <c r="H79" s="13" t="s">
        <v>418</v>
      </c>
      <c r="I79" s="10"/>
      <c r="J79" s="10" t="s">
        <v>419</v>
      </c>
      <c r="K79" s="10"/>
      <c r="L79" s="10"/>
      <c r="M79" s="13"/>
      <c r="N79" s="13"/>
      <c r="O79" s="13" t="s">
        <v>420</v>
      </c>
      <c r="P79" s="10" t="s">
        <v>421</v>
      </c>
    </row>
    <row r="80" spans="1:16" x14ac:dyDescent="0.3">
      <c r="A80" s="10" t="s">
        <v>320</v>
      </c>
      <c r="B80" s="10" t="s">
        <v>321</v>
      </c>
      <c r="C80" s="10" t="s">
        <v>588</v>
      </c>
      <c r="D80" s="10" t="s">
        <v>589</v>
      </c>
      <c r="E80" s="10" t="s">
        <v>307</v>
      </c>
      <c r="F80" s="10" t="s">
        <v>416</v>
      </c>
      <c r="G80" s="13" t="s">
        <v>417</v>
      </c>
      <c r="H80" s="13" t="s">
        <v>489</v>
      </c>
      <c r="I80" s="10" t="s">
        <v>590</v>
      </c>
      <c r="J80" s="10"/>
      <c r="K80" s="10"/>
      <c r="L80" s="10"/>
      <c r="M80" s="13"/>
      <c r="N80" s="13"/>
      <c r="O80" s="13" t="s">
        <v>420</v>
      </c>
      <c r="P80" s="10" t="s">
        <v>591</v>
      </c>
    </row>
    <row r="81" spans="1:16" x14ac:dyDescent="0.3">
      <c r="A81" s="10" t="s">
        <v>320</v>
      </c>
      <c r="B81" s="10" t="s">
        <v>321</v>
      </c>
      <c r="C81" s="10" t="s">
        <v>592</v>
      </c>
      <c r="D81" s="10" t="s">
        <v>593</v>
      </c>
      <c r="E81" s="10" t="s">
        <v>310</v>
      </c>
      <c r="F81" s="10" t="s">
        <v>416</v>
      </c>
      <c r="G81" s="13" t="s">
        <v>417</v>
      </c>
      <c r="H81" s="13" t="s">
        <v>489</v>
      </c>
      <c r="I81" s="10" t="s">
        <v>594</v>
      </c>
      <c r="J81" s="10"/>
      <c r="K81" s="10"/>
      <c r="L81" s="10"/>
      <c r="M81" s="13" t="s">
        <v>420</v>
      </c>
      <c r="N81" s="13" t="s">
        <v>420</v>
      </c>
      <c r="O81" s="13" t="s">
        <v>420</v>
      </c>
      <c r="P81" s="10" t="s">
        <v>595</v>
      </c>
    </row>
    <row r="82" spans="1:16" x14ac:dyDescent="0.3">
      <c r="A82" s="10" t="s">
        <v>320</v>
      </c>
      <c r="B82" s="10" t="s">
        <v>321</v>
      </c>
      <c r="C82" s="10" t="s">
        <v>596</v>
      </c>
      <c r="D82" s="10" t="s">
        <v>596</v>
      </c>
      <c r="E82" s="10" t="s">
        <v>423</v>
      </c>
      <c r="F82" s="10" t="s">
        <v>509</v>
      </c>
      <c r="G82" s="13" t="s">
        <v>417</v>
      </c>
      <c r="H82" s="13"/>
      <c r="I82" s="10"/>
      <c r="J82" s="10"/>
      <c r="K82" s="10"/>
      <c r="L82" s="10" t="s">
        <v>597</v>
      </c>
      <c r="M82" s="13" t="s">
        <v>420</v>
      </c>
      <c r="N82" s="13" t="s">
        <v>420</v>
      </c>
      <c r="O82" s="13" t="s">
        <v>420</v>
      </c>
      <c r="P82" s="10"/>
    </row>
    <row r="83" spans="1:16" x14ac:dyDescent="0.3">
      <c r="A83" s="10" t="s">
        <v>320</v>
      </c>
      <c r="B83" s="10" t="s">
        <v>321</v>
      </c>
      <c r="C83" s="10" t="s">
        <v>556</v>
      </c>
      <c r="D83" s="10" t="s">
        <v>556</v>
      </c>
      <c r="E83" s="10" t="s">
        <v>423</v>
      </c>
      <c r="F83" s="10" t="s">
        <v>598</v>
      </c>
      <c r="G83" s="13" t="s">
        <v>417</v>
      </c>
      <c r="H83" s="13" t="s">
        <v>425</v>
      </c>
      <c r="I83" s="10"/>
      <c r="J83" s="10"/>
      <c r="K83" s="10"/>
      <c r="L83" s="10"/>
      <c r="M83" s="13"/>
      <c r="N83" s="13"/>
      <c r="O83" s="13" t="s">
        <v>420</v>
      </c>
      <c r="P83" s="10" t="s">
        <v>599</v>
      </c>
    </row>
    <row r="84" spans="1:16" x14ac:dyDescent="0.3">
      <c r="A84" s="10" t="s">
        <v>320</v>
      </c>
      <c r="B84" s="10" t="s">
        <v>321</v>
      </c>
      <c r="C84" s="10" t="s">
        <v>600</v>
      </c>
      <c r="D84" s="10" t="s">
        <v>601</v>
      </c>
      <c r="E84" s="10" t="s">
        <v>423</v>
      </c>
      <c r="F84" s="10" t="s">
        <v>473</v>
      </c>
      <c r="G84" s="13" t="s">
        <v>417</v>
      </c>
      <c r="H84" s="13"/>
      <c r="I84" s="10"/>
      <c r="J84" s="10"/>
      <c r="K84" s="10"/>
      <c r="L84" s="10" t="s">
        <v>602</v>
      </c>
      <c r="M84" s="13" t="s">
        <v>420</v>
      </c>
      <c r="N84" s="13" t="s">
        <v>420</v>
      </c>
      <c r="O84" s="13" t="s">
        <v>420</v>
      </c>
      <c r="P84" s="10"/>
    </row>
    <row r="85" spans="1:16" x14ac:dyDescent="0.3">
      <c r="A85" s="10" t="s">
        <v>320</v>
      </c>
      <c r="B85" s="10" t="s">
        <v>321</v>
      </c>
      <c r="C85" s="10" t="s">
        <v>511</v>
      </c>
      <c r="D85" s="10" t="s">
        <v>511</v>
      </c>
      <c r="E85" s="10" t="s">
        <v>423</v>
      </c>
      <c r="F85" s="10" t="s">
        <v>512</v>
      </c>
      <c r="G85" s="13" t="s">
        <v>417</v>
      </c>
      <c r="H85" s="13"/>
      <c r="I85" s="10"/>
      <c r="J85" s="10"/>
      <c r="K85" s="10"/>
      <c r="L85" s="10" t="s">
        <v>603</v>
      </c>
      <c r="M85" s="13" t="s">
        <v>420</v>
      </c>
      <c r="N85" s="13" t="s">
        <v>420</v>
      </c>
      <c r="O85" s="13" t="s">
        <v>420</v>
      </c>
      <c r="P85" s="10"/>
    </row>
    <row r="86" spans="1:16" x14ac:dyDescent="0.3">
      <c r="A86" s="10" t="s">
        <v>320</v>
      </c>
      <c r="B86" s="10" t="s">
        <v>321</v>
      </c>
      <c r="C86" s="10" t="s">
        <v>604</v>
      </c>
      <c r="D86" s="10" t="s">
        <v>604</v>
      </c>
      <c r="E86" s="10" t="s">
        <v>423</v>
      </c>
      <c r="F86" s="10" t="s">
        <v>512</v>
      </c>
      <c r="G86" s="13" t="s">
        <v>420</v>
      </c>
      <c r="H86" s="13"/>
      <c r="I86" s="10"/>
      <c r="J86" s="10"/>
      <c r="K86" s="10"/>
      <c r="L86" s="10"/>
      <c r="M86" s="13" t="s">
        <v>420</v>
      </c>
      <c r="N86" s="13" t="s">
        <v>420</v>
      </c>
      <c r="O86" s="13" t="s">
        <v>420</v>
      </c>
      <c r="P86" s="10" t="s">
        <v>605</v>
      </c>
    </row>
    <row r="87" spans="1:16" x14ac:dyDescent="0.3">
      <c r="A87" s="10" t="s">
        <v>320</v>
      </c>
      <c r="B87" s="10" t="s">
        <v>321</v>
      </c>
      <c r="C87" s="10" t="s">
        <v>606</v>
      </c>
      <c r="D87" s="10" t="s">
        <v>606</v>
      </c>
      <c r="E87" s="10" t="s">
        <v>423</v>
      </c>
      <c r="F87" s="10" t="s">
        <v>512</v>
      </c>
      <c r="G87" s="13" t="s">
        <v>420</v>
      </c>
      <c r="H87" s="13"/>
      <c r="I87" s="10"/>
      <c r="J87" s="10"/>
      <c r="K87" s="10"/>
      <c r="L87" s="10"/>
      <c r="M87" s="13" t="s">
        <v>420</v>
      </c>
      <c r="N87" s="13" t="s">
        <v>420</v>
      </c>
      <c r="O87" s="13" t="s">
        <v>420</v>
      </c>
      <c r="P87" s="10" t="s">
        <v>607</v>
      </c>
    </row>
    <row r="88" spans="1:16" x14ac:dyDescent="0.3">
      <c r="A88" s="10" t="s">
        <v>320</v>
      </c>
      <c r="B88" s="10" t="s">
        <v>321</v>
      </c>
      <c r="C88" s="10" t="s">
        <v>608</v>
      </c>
      <c r="D88" s="10" t="s">
        <v>609</v>
      </c>
      <c r="E88" s="10" t="s">
        <v>423</v>
      </c>
      <c r="F88" s="10" t="s">
        <v>512</v>
      </c>
      <c r="G88" s="13" t="s">
        <v>420</v>
      </c>
      <c r="H88" s="13"/>
      <c r="I88" s="10"/>
      <c r="J88" s="10"/>
      <c r="K88" s="10"/>
      <c r="L88" s="10"/>
      <c r="M88" s="13" t="s">
        <v>420</v>
      </c>
      <c r="N88" s="13" t="s">
        <v>420</v>
      </c>
      <c r="O88" s="13" t="s">
        <v>420</v>
      </c>
      <c r="P88" s="10"/>
    </row>
    <row r="89" spans="1:16" x14ac:dyDescent="0.3">
      <c r="A89" s="10" t="s">
        <v>320</v>
      </c>
      <c r="B89" s="10" t="s">
        <v>321</v>
      </c>
      <c r="C89" s="10" t="s">
        <v>610</v>
      </c>
      <c r="D89" s="10" t="s">
        <v>611</v>
      </c>
      <c r="E89" s="10" t="s">
        <v>423</v>
      </c>
      <c r="F89" s="10" t="s">
        <v>512</v>
      </c>
      <c r="G89" s="13" t="s">
        <v>420</v>
      </c>
      <c r="H89" s="13"/>
      <c r="I89" s="10"/>
      <c r="J89" s="10"/>
      <c r="K89" s="10"/>
      <c r="L89" s="10"/>
      <c r="M89" s="13" t="s">
        <v>420</v>
      </c>
      <c r="N89" s="13" t="s">
        <v>420</v>
      </c>
      <c r="O89" s="13" t="s">
        <v>420</v>
      </c>
      <c r="P89" s="10"/>
    </row>
    <row r="90" spans="1:16" x14ac:dyDescent="0.3">
      <c r="A90" s="10" t="s">
        <v>320</v>
      </c>
      <c r="B90" s="10" t="s">
        <v>321</v>
      </c>
      <c r="C90" s="10" t="s">
        <v>612</v>
      </c>
      <c r="D90" s="10" t="s">
        <v>613</v>
      </c>
      <c r="E90" s="10" t="s">
        <v>423</v>
      </c>
      <c r="F90" s="10" t="s">
        <v>503</v>
      </c>
      <c r="G90" s="13" t="s">
        <v>420</v>
      </c>
      <c r="H90" s="13"/>
      <c r="I90" s="10"/>
      <c r="J90" s="10"/>
      <c r="K90" s="10"/>
      <c r="L90" s="10"/>
      <c r="M90" s="13" t="s">
        <v>420</v>
      </c>
      <c r="N90" s="13" t="s">
        <v>420</v>
      </c>
      <c r="O90" s="13" t="s">
        <v>420</v>
      </c>
      <c r="P90" s="10"/>
    </row>
    <row r="91" spans="1:16" x14ac:dyDescent="0.3">
      <c r="A91" s="10" t="s">
        <v>320</v>
      </c>
      <c r="B91" s="10" t="s">
        <v>321</v>
      </c>
      <c r="C91" s="10" t="s">
        <v>614</v>
      </c>
      <c r="D91" s="10" t="s">
        <v>615</v>
      </c>
      <c r="E91" s="10" t="s">
        <v>546</v>
      </c>
      <c r="F91" s="10" t="s">
        <v>565</v>
      </c>
      <c r="G91" s="13" t="s">
        <v>420</v>
      </c>
      <c r="H91" s="13"/>
      <c r="I91" s="10"/>
      <c r="J91" s="10"/>
      <c r="K91" s="10"/>
      <c r="L91" s="10" t="s">
        <v>566</v>
      </c>
      <c r="M91" s="13" t="s">
        <v>420</v>
      </c>
      <c r="N91" s="13" t="s">
        <v>420</v>
      </c>
      <c r="O91" s="13" t="s">
        <v>420</v>
      </c>
      <c r="P91" s="10"/>
    </row>
    <row r="92" spans="1:16" x14ac:dyDescent="0.3">
      <c r="A92" s="10" t="s">
        <v>320</v>
      </c>
      <c r="B92" s="10" t="s">
        <v>321</v>
      </c>
      <c r="C92" s="10" t="s">
        <v>616</v>
      </c>
      <c r="D92" s="10" t="s">
        <v>617</v>
      </c>
      <c r="E92" s="10" t="s">
        <v>546</v>
      </c>
      <c r="F92" s="10" t="s">
        <v>565</v>
      </c>
      <c r="G92" s="13" t="s">
        <v>420</v>
      </c>
      <c r="H92" s="13"/>
      <c r="I92" s="10"/>
      <c r="J92" s="10"/>
      <c r="K92" s="10"/>
      <c r="L92" s="10" t="s">
        <v>568</v>
      </c>
      <c r="M92" s="13" t="s">
        <v>420</v>
      </c>
      <c r="N92" s="13" t="s">
        <v>420</v>
      </c>
      <c r="O92" s="13" t="s">
        <v>420</v>
      </c>
      <c r="P92" s="10"/>
    </row>
    <row r="93" spans="1:16" x14ac:dyDescent="0.3">
      <c r="A93" s="10" t="s">
        <v>320</v>
      </c>
      <c r="B93" s="10" t="s">
        <v>321</v>
      </c>
      <c r="C93" s="10" t="s">
        <v>618</v>
      </c>
      <c r="D93" s="10" t="s">
        <v>619</v>
      </c>
      <c r="E93" s="10" t="s">
        <v>583</v>
      </c>
      <c r="F93" s="10" t="s">
        <v>584</v>
      </c>
      <c r="G93" s="13" t="s">
        <v>417</v>
      </c>
      <c r="H93" s="13"/>
      <c r="I93" s="10"/>
      <c r="J93" s="10"/>
      <c r="K93" s="10" t="s">
        <v>620</v>
      </c>
      <c r="L93" s="10" t="s">
        <v>621</v>
      </c>
      <c r="M93" s="13" t="s">
        <v>420</v>
      </c>
      <c r="N93" s="13" t="s">
        <v>420</v>
      </c>
      <c r="O93" s="13" t="s">
        <v>420</v>
      </c>
      <c r="P93" s="10"/>
    </row>
    <row r="94" spans="1:16" x14ac:dyDescent="0.3">
      <c r="A94" s="10" t="s">
        <v>320</v>
      </c>
      <c r="B94" s="10" t="s">
        <v>321</v>
      </c>
      <c r="C94" s="10" t="s">
        <v>622</v>
      </c>
      <c r="D94" s="10" t="s">
        <v>623</v>
      </c>
      <c r="E94" s="10" t="s">
        <v>583</v>
      </c>
      <c r="F94" s="10" t="s">
        <v>584</v>
      </c>
      <c r="G94" s="13" t="s">
        <v>417</v>
      </c>
      <c r="H94" s="13"/>
      <c r="I94" s="10"/>
      <c r="J94" s="10" t="s">
        <v>624</v>
      </c>
      <c r="K94" s="10" t="s">
        <v>625</v>
      </c>
      <c r="L94" s="10" t="s">
        <v>626</v>
      </c>
      <c r="M94" s="13" t="s">
        <v>420</v>
      </c>
      <c r="N94" s="13" t="s">
        <v>420</v>
      </c>
      <c r="O94" s="13" t="s">
        <v>420</v>
      </c>
      <c r="P94" s="10"/>
    </row>
    <row r="95" spans="1:16" x14ac:dyDescent="0.3">
      <c r="A95" s="10" t="s">
        <v>320</v>
      </c>
      <c r="B95" s="10" t="s">
        <v>321</v>
      </c>
      <c r="C95" s="10" t="s">
        <v>627</v>
      </c>
      <c r="D95" s="10" t="s">
        <v>628</v>
      </c>
      <c r="E95" s="10" t="s">
        <v>583</v>
      </c>
      <c r="F95" s="10" t="s">
        <v>584</v>
      </c>
      <c r="G95" s="13" t="s">
        <v>420</v>
      </c>
      <c r="H95" s="13"/>
      <c r="I95" s="10"/>
      <c r="J95" s="10"/>
      <c r="K95" s="10"/>
      <c r="L95" s="10" t="s">
        <v>629</v>
      </c>
      <c r="M95" s="13" t="s">
        <v>420</v>
      </c>
      <c r="N95" s="13" t="s">
        <v>420</v>
      </c>
      <c r="O95" s="13" t="s">
        <v>420</v>
      </c>
      <c r="P95" s="10"/>
    </row>
    <row r="96" spans="1:16" x14ac:dyDescent="0.3">
      <c r="A96" s="10" t="s">
        <v>320</v>
      </c>
      <c r="B96" s="10" t="s">
        <v>321</v>
      </c>
      <c r="C96" s="10" t="s">
        <v>630</v>
      </c>
      <c r="D96" s="10" t="s">
        <v>631</v>
      </c>
      <c r="E96" s="10" t="s">
        <v>583</v>
      </c>
      <c r="F96" s="10" t="s">
        <v>584</v>
      </c>
      <c r="G96" s="13" t="s">
        <v>420</v>
      </c>
      <c r="H96" s="13"/>
      <c r="I96" s="10"/>
      <c r="J96" s="10"/>
      <c r="K96" s="10"/>
      <c r="L96" s="10" t="s">
        <v>632</v>
      </c>
      <c r="M96" s="13" t="s">
        <v>420</v>
      </c>
      <c r="N96" s="13" t="s">
        <v>420</v>
      </c>
      <c r="O96" s="13" t="s">
        <v>420</v>
      </c>
      <c r="P96" s="10"/>
    </row>
    <row r="97" spans="1:16" ht="26.4" x14ac:dyDescent="0.3">
      <c r="A97" s="10" t="s">
        <v>320</v>
      </c>
      <c r="B97" s="10" t="s">
        <v>321</v>
      </c>
      <c r="C97" s="10" t="s">
        <v>633</v>
      </c>
      <c r="D97" s="10" t="s">
        <v>634</v>
      </c>
      <c r="E97" s="10" t="s">
        <v>546</v>
      </c>
      <c r="F97" s="10" t="s">
        <v>635</v>
      </c>
      <c r="G97" s="13" t="s">
        <v>417</v>
      </c>
      <c r="H97" s="13"/>
      <c r="I97" s="10"/>
      <c r="J97" s="10"/>
      <c r="K97" s="10" t="s">
        <v>636</v>
      </c>
      <c r="L97" s="10" t="s">
        <v>637</v>
      </c>
      <c r="M97" s="13" t="s">
        <v>420</v>
      </c>
      <c r="N97" s="13" t="s">
        <v>420</v>
      </c>
      <c r="O97" s="13" t="s">
        <v>420</v>
      </c>
      <c r="P97" s="10" t="s">
        <v>638</v>
      </c>
    </row>
    <row r="98" spans="1:16" x14ac:dyDescent="0.3">
      <c r="A98" s="10" t="s">
        <v>320</v>
      </c>
      <c r="B98" s="10" t="s">
        <v>321</v>
      </c>
      <c r="C98" s="10" t="s">
        <v>639</v>
      </c>
      <c r="D98" s="10" t="s">
        <v>639</v>
      </c>
      <c r="E98" s="10" t="s">
        <v>423</v>
      </c>
      <c r="F98" s="10" t="s">
        <v>468</v>
      </c>
      <c r="G98" s="13" t="s">
        <v>417</v>
      </c>
      <c r="H98" s="13"/>
      <c r="I98" s="10"/>
      <c r="J98" s="10" t="s">
        <v>469</v>
      </c>
      <c r="K98" s="10"/>
      <c r="L98" s="10" t="s">
        <v>470</v>
      </c>
      <c r="M98" s="13" t="s">
        <v>420</v>
      </c>
      <c r="N98" s="13" t="s">
        <v>420</v>
      </c>
      <c r="O98" s="13" t="s">
        <v>420</v>
      </c>
      <c r="P98" s="10"/>
    </row>
    <row r="99" spans="1:16" x14ac:dyDescent="0.3">
      <c r="A99" s="10" t="s">
        <v>320</v>
      </c>
      <c r="B99" s="10" t="s">
        <v>321</v>
      </c>
      <c r="C99" s="10" t="s">
        <v>640</v>
      </c>
      <c r="D99" s="10" t="s">
        <v>641</v>
      </c>
      <c r="E99" s="10" t="s">
        <v>458</v>
      </c>
      <c r="F99" s="10" t="s">
        <v>459</v>
      </c>
      <c r="G99" s="13" t="s">
        <v>417</v>
      </c>
      <c r="H99" s="13"/>
      <c r="I99" s="10"/>
      <c r="J99" s="10" t="s">
        <v>573</v>
      </c>
      <c r="K99" s="10"/>
      <c r="L99" s="10"/>
      <c r="M99" s="13" t="s">
        <v>420</v>
      </c>
      <c r="N99" s="13" t="s">
        <v>420</v>
      </c>
      <c r="O99" s="13" t="s">
        <v>420</v>
      </c>
      <c r="P99" s="10" t="s">
        <v>642</v>
      </c>
    </row>
    <row r="100" spans="1:16" x14ac:dyDescent="0.3">
      <c r="A100" s="10" t="s">
        <v>320</v>
      </c>
      <c r="B100" s="10" t="s">
        <v>321</v>
      </c>
      <c r="C100" s="10" t="s">
        <v>643</v>
      </c>
      <c r="D100" s="10" t="s">
        <v>644</v>
      </c>
      <c r="E100" s="10" t="s">
        <v>583</v>
      </c>
      <c r="F100" s="10" t="s">
        <v>584</v>
      </c>
      <c r="G100" s="13" t="s">
        <v>420</v>
      </c>
      <c r="H100" s="13"/>
      <c r="I100" s="10"/>
      <c r="J100" s="10"/>
      <c r="K100" s="10"/>
      <c r="L100" s="10" t="s">
        <v>632</v>
      </c>
      <c r="M100" s="13" t="s">
        <v>420</v>
      </c>
      <c r="N100" s="13" t="s">
        <v>420</v>
      </c>
      <c r="O100" s="13" t="s">
        <v>420</v>
      </c>
      <c r="P100" s="10" t="s">
        <v>645</v>
      </c>
    </row>
    <row r="101" spans="1:16" x14ac:dyDescent="0.3">
      <c r="A101" s="10" t="s">
        <v>320</v>
      </c>
      <c r="B101" s="10" t="s">
        <v>321</v>
      </c>
      <c r="C101" s="10" t="s">
        <v>452</v>
      </c>
      <c r="D101" s="10" t="s">
        <v>452</v>
      </c>
      <c r="E101" s="10" t="s">
        <v>646</v>
      </c>
      <c r="F101" s="10" t="s">
        <v>449</v>
      </c>
      <c r="G101" s="13" t="s">
        <v>417</v>
      </c>
      <c r="H101" s="13"/>
      <c r="I101" s="10"/>
      <c r="J101" s="10" t="s">
        <v>647</v>
      </c>
      <c r="K101" s="10"/>
      <c r="L101" s="10"/>
      <c r="M101" s="13"/>
      <c r="N101" s="13"/>
      <c r="O101" s="13" t="s">
        <v>420</v>
      </c>
      <c r="P101" s="10" t="s">
        <v>648</v>
      </c>
    </row>
    <row r="102" spans="1:16" x14ac:dyDescent="0.3">
      <c r="A102" s="10" t="s">
        <v>320</v>
      </c>
      <c r="B102" s="10" t="s">
        <v>321</v>
      </c>
      <c r="C102" s="10" t="s">
        <v>542</v>
      </c>
      <c r="D102" s="10" t="s">
        <v>543</v>
      </c>
      <c r="E102" s="10" t="s">
        <v>423</v>
      </c>
      <c r="F102" s="10" t="s">
        <v>473</v>
      </c>
      <c r="G102" s="13" t="s">
        <v>420</v>
      </c>
      <c r="H102" s="13"/>
      <c r="I102" s="10"/>
      <c r="J102" s="10"/>
      <c r="K102" s="10"/>
      <c r="L102" s="10"/>
      <c r="M102" s="13"/>
      <c r="N102" s="13"/>
      <c r="O102" s="13" t="s">
        <v>420</v>
      </c>
      <c r="P102" s="10"/>
    </row>
    <row r="103" spans="1:16" x14ac:dyDescent="0.3">
      <c r="A103" s="10" t="s">
        <v>320</v>
      </c>
      <c r="B103" s="10" t="s">
        <v>321</v>
      </c>
      <c r="C103" s="10" t="s">
        <v>649</v>
      </c>
      <c r="D103" s="10" t="s">
        <v>649</v>
      </c>
      <c r="E103" s="10" t="s">
        <v>458</v>
      </c>
      <c r="F103" s="10" t="s">
        <v>459</v>
      </c>
      <c r="G103" s="13" t="s">
        <v>417</v>
      </c>
      <c r="H103" s="13"/>
      <c r="I103" s="10"/>
      <c r="J103" s="10" t="s">
        <v>460</v>
      </c>
      <c r="K103" s="10"/>
      <c r="L103" s="10"/>
      <c r="M103" s="13"/>
      <c r="N103" s="13"/>
      <c r="O103" s="13" t="s">
        <v>420</v>
      </c>
      <c r="P103" s="10" t="s">
        <v>650</v>
      </c>
    </row>
    <row r="104" spans="1:16" ht="26.4" x14ac:dyDescent="0.3">
      <c r="A104" s="10" t="s">
        <v>320</v>
      </c>
      <c r="B104" s="10" t="s">
        <v>321</v>
      </c>
      <c r="C104" s="10" t="s">
        <v>651</v>
      </c>
      <c r="D104" s="10" t="s">
        <v>652</v>
      </c>
      <c r="E104" s="10" t="s">
        <v>546</v>
      </c>
      <c r="F104" s="10" t="s">
        <v>653</v>
      </c>
      <c r="G104" s="13" t="s">
        <v>417</v>
      </c>
      <c r="H104" s="13"/>
      <c r="I104" s="10"/>
      <c r="J104" s="10" t="s">
        <v>585</v>
      </c>
      <c r="K104" s="10" t="s">
        <v>654</v>
      </c>
      <c r="L104" s="10"/>
      <c r="M104" s="13"/>
      <c r="N104" s="13"/>
      <c r="O104" s="13" t="s">
        <v>420</v>
      </c>
      <c r="P104" s="10" t="s">
        <v>655</v>
      </c>
    </row>
    <row r="105" spans="1:16" x14ac:dyDescent="0.3">
      <c r="A105" s="10" t="s">
        <v>320</v>
      </c>
      <c r="B105" s="10" t="s">
        <v>321</v>
      </c>
      <c r="C105" s="10" t="s">
        <v>656</v>
      </c>
      <c r="D105" s="10" t="s">
        <v>657</v>
      </c>
      <c r="E105" s="10" t="s">
        <v>583</v>
      </c>
      <c r="F105" s="10" t="s">
        <v>584</v>
      </c>
      <c r="G105" s="13" t="s">
        <v>417</v>
      </c>
      <c r="H105" s="13"/>
      <c r="I105" s="10"/>
      <c r="J105" s="10" t="s">
        <v>585</v>
      </c>
      <c r="K105" s="10"/>
      <c r="L105" s="10"/>
      <c r="M105" s="13"/>
      <c r="N105" s="13"/>
      <c r="O105" s="13" t="s">
        <v>420</v>
      </c>
      <c r="P105" s="10" t="s">
        <v>658</v>
      </c>
    </row>
    <row r="106" spans="1:16" x14ac:dyDescent="0.3">
      <c r="A106" s="10" t="s">
        <v>320</v>
      </c>
      <c r="B106" s="10" t="s">
        <v>321</v>
      </c>
      <c r="C106" s="10" t="s">
        <v>659</v>
      </c>
      <c r="D106" s="10" t="s">
        <v>660</v>
      </c>
      <c r="E106" s="10" t="s">
        <v>583</v>
      </c>
      <c r="F106" s="10" t="s">
        <v>584</v>
      </c>
      <c r="G106" s="13" t="s">
        <v>417</v>
      </c>
      <c r="H106" s="13"/>
      <c r="I106" s="10"/>
      <c r="J106" s="10" t="s">
        <v>585</v>
      </c>
      <c r="K106" s="10"/>
      <c r="L106" s="10"/>
      <c r="M106" s="13"/>
      <c r="N106" s="13"/>
      <c r="O106" s="13" t="s">
        <v>420</v>
      </c>
      <c r="P106" s="10" t="s">
        <v>661</v>
      </c>
    </row>
    <row r="107" spans="1:16" x14ac:dyDescent="0.3">
      <c r="A107" s="10" t="s">
        <v>320</v>
      </c>
      <c r="B107" s="10" t="s">
        <v>321</v>
      </c>
      <c r="C107" s="10" t="s">
        <v>662</v>
      </c>
      <c r="D107" s="10" t="s">
        <v>663</v>
      </c>
      <c r="E107" s="10" t="s">
        <v>477</v>
      </c>
      <c r="F107" s="10" t="s">
        <v>478</v>
      </c>
      <c r="G107" s="13" t="s">
        <v>420</v>
      </c>
      <c r="H107" s="13"/>
      <c r="I107" s="10"/>
      <c r="J107" s="10"/>
      <c r="K107" s="10"/>
      <c r="L107" s="10"/>
      <c r="M107" s="13"/>
      <c r="N107" s="13"/>
      <c r="O107" s="13"/>
      <c r="P107" s="10" t="s">
        <v>664</v>
      </c>
    </row>
    <row r="108" spans="1:16" x14ac:dyDescent="0.3">
      <c r="A108" s="10" t="s">
        <v>320</v>
      </c>
      <c r="B108" s="10" t="s">
        <v>321</v>
      </c>
      <c r="C108" s="10" t="s">
        <v>479</v>
      </c>
      <c r="D108" s="10" t="s">
        <v>480</v>
      </c>
      <c r="E108" s="10" t="s">
        <v>477</v>
      </c>
      <c r="F108" s="10" t="s">
        <v>478</v>
      </c>
      <c r="G108" s="13" t="s">
        <v>417</v>
      </c>
      <c r="H108" s="13"/>
      <c r="I108" s="10"/>
      <c r="J108" s="10" t="s">
        <v>481</v>
      </c>
      <c r="K108" s="10"/>
      <c r="L108" s="10" t="s">
        <v>482</v>
      </c>
      <c r="M108" s="13"/>
      <c r="N108" s="13"/>
      <c r="O108" s="13" t="s">
        <v>420</v>
      </c>
      <c r="P108" s="10" t="s">
        <v>483</v>
      </c>
    </row>
    <row r="109" spans="1:16" x14ac:dyDescent="0.3">
      <c r="A109" s="10" t="s">
        <v>320</v>
      </c>
      <c r="B109" s="10" t="s">
        <v>321</v>
      </c>
      <c r="C109" s="10" t="s">
        <v>484</v>
      </c>
      <c r="D109" s="10" t="s">
        <v>485</v>
      </c>
      <c r="E109" s="10" t="s">
        <v>477</v>
      </c>
      <c r="F109" s="10" t="s">
        <v>478</v>
      </c>
      <c r="G109" s="13" t="s">
        <v>417</v>
      </c>
      <c r="H109" s="13"/>
      <c r="I109" s="10"/>
      <c r="J109" s="10" t="s">
        <v>481</v>
      </c>
      <c r="K109" s="10"/>
      <c r="L109" s="10" t="s">
        <v>482</v>
      </c>
      <c r="M109" s="13"/>
      <c r="N109" s="13"/>
      <c r="O109" s="13" t="s">
        <v>420</v>
      </c>
      <c r="P109" s="10" t="s">
        <v>486</v>
      </c>
    </row>
    <row r="110" spans="1:16" x14ac:dyDescent="0.3">
      <c r="A110" s="11" t="s">
        <v>323</v>
      </c>
      <c r="B110" s="11" t="s">
        <v>324</v>
      </c>
      <c r="C110" s="11" t="s">
        <v>665</v>
      </c>
      <c r="D110" s="11" t="s">
        <v>666</v>
      </c>
      <c r="E110" s="11" t="s">
        <v>320</v>
      </c>
      <c r="F110" s="11" t="s">
        <v>416</v>
      </c>
      <c r="G110" s="12" t="s">
        <v>417</v>
      </c>
      <c r="H110" s="12" t="s">
        <v>667</v>
      </c>
      <c r="I110" s="11" t="s">
        <v>668</v>
      </c>
      <c r="J110" s="11"/>
      <c r="K110" s="11"/>
      <c r="L110" s="11"/>
      <c r="M110" s="12"/>
      <c r="N110" s="12"/>
      <c r="O110" s="12"/>
      <c r="P110" s="11"/>
    </row>
    <row r="111" spans="1:16" x14ac:dyDescent="0.3">
      <c r="A111" s="11" t="s">
        <v>323</v>
      </c>
      <c r="B111" s="11" t="s">
        <v>324</v>
      </c>
      <c r="C111" s="11" t="s">
        <v>669</v>
      </c>
      <c r="D111" s="11" t="s">
        <v>670</v>
      </c>
      <c r="E111" s="11" t="s">
        <v>314</v>
      </c>
      <c r="F111" s="11" t="s">
        <v>416</v>
      </c>
      <c r="G111" s="12" t="s">
        <v>417</v>
      </c>
      <c r="H111" s="12" t="s">
        <v>667</v>
      </c>
      <c r="I111" s="11" t="s">
        <v>579</v>
      </c>
      <c r="J111" s="11"/>
      <c r="K111" s="11"/>
      <c r="L111" s="11"/>
      <c r="M111" s="12"/>
      <c r="N111" s="12"/>
      <c r="O111" s="12"/>
      <c r="P111" s="11"/>
    </row>
    <row r="112" spans="1:16" x14ac:dyDescent="0.3">
      <c r="A112" s="10" t="s">
        <v>326</v>
      </c>
      <c r="B112" s="10" t="s">
        <v>327</v>
      </c>
      <c r="C112" s="10" t="s">
        <v>665</v>
      </c>
      <c r="D112" s="10" t="s">
        <v>666</v>
      </c>
      <c r="E112" s="10" t="s">
        <v>320</v>
      </c>
      <c r="F112" s="10" t="s">
        <v>416</v>
      </c>
      <c r="G112" s="13" t="s">
        <v>417</v>
      </c>
      <c r="H112" s="13" t="s">
        <v>667</v>
      </c>
      <c r="I112" s="10" t="s">
        <v>668</v>
      </c>
      <c r="J112" s="10"/>
      <c r="K112" s="10"/>
      <c r="L112" s="10"/>
      <c r="M112" s="13"/>
      <c r="N112" s="13"/>
      <c r="O112" s="13"/>
      <c r="P112" s="10"/>
    </row>
    <row r="113" spans="1:16" x14ac:dyDescent="0.3">
      <c r="A113" s="10" t="s">
        <v>326</v>
      </c>
      <c r="B113" s="10" t="s">
        <v>327</v>
      </c>
      <c r="C113" s="10" t="s">
        <v>671</v>
      </c>
      <c r="D113" s="10" t="s">
        <v>672</v>
      </c>
      <c r="E113" s="10" t="s">
        <v>317</v>
      </c>
      <c r="F113" s="10" t="s">
        <v>416</v>
      </c>
      <c r="G113" s="13" t="s">
        <v>417</v>
      </c>
      <c r="H113" s="13" t="s">
        <v>667</v>
      </c>
      <c r="I113" s="10" t="s">
        <v>673</v>
      </c>
      <c r="J113" s="10"/>
      <c r="K113" s="10"/>
      <c r="L113" s="10"/>
      <c r="M113" s="13"/>
      <c r="N113" s="13"/>
      <c r="O113" s="13"/>
      <c r="P113" s="10"/>
    </row>
    <row r="114" spans="1:16" x14ac:dyDescent="0.3">
      <c r="A114" s="11" t="s">
        <v>329</v>
      </c>
      <c r="B114" s="11" t="s">
        <v>330</v>
      </c>
      <c r="C114" s="11" t="s">
        <v>665</v>
      </c>
      <c r="D114" s="11" t="s">
        <v>666</v>
      </c>
      <c r="E114" s="11" t="s">
        <v>320</v>
      </c>
      <c r="F114" s="11" t="s">
        <v>416</v>
      </c>
      <c r="G114" s="12" t="s">
        <v>417</v>
      </c>
      <c r="H114" s="12" t="s">
        <v>667</v>
      </c>
      <c r="I114" s="11" t="s">
        <v>668</v>
      </c>
      <c r="J114" s="11"/>
      <c r="K114" s="11"/>
      <c r="L114" s="11"/>
      <c r="M114" s="12"/>
      <c r="N114" s="12"/>
      <c r="O114" s="12"/>
      <c r="P114" s="11"/>
    </row>
    <row r="115" spans="1:16" x14ac:dyDescent="0.3">
      <c r="A115" s="11" t="s">
        <v>329</v>
      </c>
      <c r="B115" s="11" t="s">
        <v>330</v>
      </c>
      <c r="C115" s="11" t="s">
        <v>674</v>
      </c>
      <c r="D115" s="11" t="s">
        <v>675</v>
      </c>
      <c r="E115" s="11" t="s">
        <v>423</v>
      </c>
      <c r="F115" s="11" t="s">
        <v>463</v>
      </c>
      <c r="G115" s="12" t="s">
        <v>417</v>
      </c>
      <c r="H115" s="12" t="s">
        <v>418</v>
      </c>
      <c r="I115" s="11"/>
      <c r="J115" s="11"/>
      <c r="K115" s="11"/>
      <c r="L115" s="11" t="s">
        <v>465</v>
      </c>
      <c r="M115" s="12"/>
      <c r="N115" s="12"/>
      <c r="O115" s="12"/>
      <c r="P115" s="11" t="s">
        <v>676</v>
      </c>
    </row>
    <row r="116" spans="1:16" ht="26.4" x14ac:dyDescent="0.3">
      <c r="A116" s="10" t="s">
        <v>332</v>
      </c>
      <c r="B116" s="10" t="s">
        <v>333</v>
      </c>
      <c r="C116" s="10" t="s">
        <v>414</v>
      </c>
      <c r="D116" s="10" t="s">
        <v>414</v>
      </c>
      <c r="E116" s="10" t="s">
        <v>415</v>
      </c>
      <c r="F116" s="10" t="s">
        <v>416</v>
      </c>
      <c r="G116" s="13" t="s">
        <v>417</v>
      </c>
      <c r="H116" s="13" t="s">
        <v>418</v>
      </c>
      <c r="I116" s="10"/>
      <c r="J116" s="10" t="s">
        <v>419</v>
      </c>
      <c r="K116" s="10"/>
      <c r="L116" s="10"/>
      <c r="M116" s="13"/>
      <c r="N116" s="13"/>
      <c r="O116" s="13" t="s">
        <v>420</v>
      </c>
      <c r="P116" s="10" t="s">
        <v>421</v>
      </c>
    </row>
    <row r="117" spans="1:16" x14ac:dyDescent="0.3">
      <c r="A117" s="10" t="s">
        <v>332</v>
      </c>
      <c r="B117" s="10" t="s">
        <v>333</v>
      </c>
      <c r="C117" s="10" t="s">
        <v>665</v>
      </c>
      <c r="D117" s="10" t="s">
        <v>666</v>
      </c>
      <c r="E117" s="10" t="s">
        <v>320</v>
      </c>
      <c r="F117" s="10" t="s">
        <v>416</v>
      </c>
      <c r="G117" s="13" t="s">
        <v>417</v>
      </c>
      <c r="H117" s="13" t="s">
        <v>489</v>
      </c>
      <c r="I117" s="10" t="s">
        <v>668</v>
      </c>
      <c r="J117" s="10"/>
      <c r="K117" s="10"/>
      <c r="L117" s="10"/>
      <c r="M117" s="13"/>
      <c r="N117" s="13"/>
      <c r="O117" s="13" t="s">
        <v>420</v>
      </c>
      <c r="P117" s="10"/>
    </row>
    <row r="118" spans="1:16" x14ac:dyDescent="0.3">
      <c r="A118" s="10" t="s">
        <v>332</v>
      </c>
      <c r="B118" s="10" t="s">
        <v>333</v>
      </c>
      <c r="C118" s="10" t="s">
        <v>677</v>
      </c>
      <c r="D118" s="10" t="s">
        <v>677</v>
      </c>
      <c r="E118" s="10" t="s">
        <v>423</v>
      </c>
      <c r="F118" s="10" t="s">
        <v>473</v>
      </c>
      <c r="G118" s="13" t="s">
        <v>417</v>
      </c>
      <c r="H118" s="13"/>
      <c r="I118" s="10"/>
      <c r="J118" s="10"/>
      <c r="K118" s="10"/>
      <c r="L118" s="10" t="s">
        <v>678</v>
      </c>
      <c r="M118" s="13" t="s">
        <v>420</v>
      </c>
      <c r="N118" s="13" t="s">
        <v>420</v>
      </c>
      <c r="O118" s="13" t="s">
        <v>420</v>
      </c>
      <c r="P118" s="10"/>
    </row>
    <row r="119" spans="1:16" x14ac:dyDescent="0.3">
      <c r="A119" s="10" t="s">
        <v>332</v>
      </c>
      <c r="B119" s="10" t="s">
        <v>333</v>
      </c>
      <c r="C119" s="10" t="s">
        <v>679</v>
      </c>
      <c r="D119" s="10" t="s">
        <v>680</v>
      </c>
      <c r="E119" s="10" t="s">
        <v>681</v>
      </c>
      <c r="F119" s="10" t="s">
        <v>449</v>
      </c>
      <c r="G119" s="13" t="s">
        <v>417</v>
      </c>
      <c r="H119" s="13"/>
      <c r="I119" s="10"/>
      <c r="J119" s="10" t="s">
        <v>682</v>
      </c>
      <c r="K119" s="10"/>
      <c r="L119" s="10"/>
      <c r="M119" s="13" t="s">
        <v>420</v>
      </c>
      <c r="N119" s="13" t="s">
        <v>420</v>
      </c>
      <c r="O119" s="13" t="s">
        <v>420</v>
      </c>
      <c r="P119" s="10"/>
    </row>
    <row r="120" spans="1:16" x14ac:dyDescent="0.3">
      <c r="A120" s="10" t="s">
        <v>332</v>
      </c>
      <c r="B120" s="10" t="s">
        <v>333</v>
      </c>
      <c r="C120" s="10" t="s">
        <v>683</v>
      </c>
      <c r="D120" s="10" t="s">
        <v>683</v>
      </c>
      <c r="E120" s="10" t="s">
        <v>423</v>
      </c>
      <c r="F120" s="10" t="s">
        <v>509</v>
      </c>
      <c r="G120" s="13" t="s">
        <v>420</v>
      </c>
      <c r="H120" s="13"/>
      <c r="I120" s="10"/>
      <c r="J120" s="10"/>
      <c r="K120" s="10"/>
      <c r="L120" s="10"/>
      <c r="M120" s="13" t="s">
        <v>420</v>
      </c>
      <c r="N120" s="13" t="s">
        <v>420</v>
      </c>
      <c r="O120" s="13" t="s">
        <v>420</v>
      </c>
      <c r="P120" s="10"/>
    </row>
    <row r="121" spans="1:16" x14ac:dyDescent="0.3">
      <c r="A121" s="10" t="s">
        <v>332</v>
      </c>
      <c r="B121" s="10" t="s">
        <v>333</v>
      </c>
      <c r="C121" s="10" t="s">
        <v>581</v>
      </c>
      <c r="D121" s="10" t="s">
        <v>582</v>
      </c>
      <c r="E121" s="10" t="s">
        <v>583</v>
      </c>
      <c r="F121" s="10" t="s">
        <v>584</v>
      </c>
      <c r="G121" s="13" t="s">
        <v>417</v>
      </c>
      <c r="H121" s="13"/>
      <c r="I121" s="10"/>
      <c r="J121" s="10" t="s">
        <v>585</v>
      </c>
      <c r="K121" s="10"/>
      <c r="L121" s="10"/>
      <c r="M121" s="13" t="s">
        <v>420</v>
      </c>
      <c r="N121" s="13" t="s">
        <v>420</v>
      </c>
      <c r="O121" s="13" t="s">
        <v>420</v>
      </c>
      <c r="P121" s="10"/>
    </row>
    <row r="122" spans="1:16" x14ac:dyDescent="0.3">
      <c r="A122" s="10" t="s">
        <v>332</v>
      </c>
      <c r="B122" s="10" t="s">
        <v>333</v>
      </c>
      <c r="C122" s="10" t="s">
        <v>684</v>
      </c>
      <c r="D122" s="10" t="s">
        <v>684</v>
      </c>
      <c r="E122" s="10" t="s">
        <v>458</v>
      </c>
      <c r="F122" s="10" t="s">
        <v>459</v>
      </c>
      <c r="G122" s="13" t="s">
        <v>417</v>
      </c>
      <c r="H122" s="13"/>
      <c r="I122" s="10"/>
      <c r="J122" s="10" t="s">
        <v>460</v>
      </c>
      <c r="K122" s="10"/>
      <c r="L122" s="10"/>
      <c r="M122" s="13" t="s">
        <v>420</v>
      </c>
      <c r="N122" s="13" t="s">
        <v>420</v>
      </c>
      <c r="O122" s="13" t="s">
        <v>420</v>
      </c>
      <c r="P122" s="10" t="s">
        <v>685</v>
      </c>
    </row>
    <row r="123" spans="1:16" x14ac:dyDescent="0.3">
      <c r="A123" s="10" t="s">
        <v>332</v>
      </c>
      <c r="B123" s="10" t="s">
        <v>333</v>
      </c>
      <c r="C123" s="10" t="s">
        <v>479</v>
      </c>
      <c r="D123" s="10" t="s">
        <v>480</v>
      </c>
      <c r="E123" s="10" t="s">
        <v>477</v>
      </c>
      <c r="F123" s="10" t="s">
        <v>478</v>
      </c>
      <c r="G123" s="13" t="s">
        <v>417</v>
      </c>
      <c r="H123" s="13"/>
      <c r="I123" s="10"/>
      <c r="J123" s="10" t="s">
        <v>481</v>
      </c>
      <c r="K123" s="10"/>
      <c r="L123" s="10" t="s">
        <v>482</v>
      </c>
      <c r="M123" s="13"/>
      <c r="N123" s="13"/>
      <c r="O123" s="13" t="s">
        <v>420</v>
      </c>
      <c r="P123" s="10" t="s">
        <v>483</v>
      </c>
    </row>
    <row r="124" spans="1:16" ht="26.4" x14ac:dyDescent="0.3">
      <c r="A124" s="11" t="s">
        <v>335</v>
      </c>
      <c r="B124" s="11" t="s">
        <v>336</v>
      </c>
      <c r="C124" s="11" t="s">
        <v>414</v>
      </c>
      <c r="D124" s="11" t="s">
        <v>414</v>
      </c>
      <c r="E124" s="11" t="s">
        <v>415</v>
      </c>
      <c r="F124" s="11" t="s">
        <v>416</v>
      </c>
      <c r="G124" s="12" t="s">
        <v>417</v>
      </c>
      <c r="H124" s="12" t="s">
        <v>418</v>
      </c>
      <c r="I124" s="11"/>
      <c r="J124" s="11" t="s">
        <v>419</v>
      </c>
      <c r="K124" s="11"/>
      <c r="L124" s="11"/>
      <c r="M124" s="12"/>
      <c r="N124" s="12"/>
      <c r="O124" s="12" t="s">
        <v>420</v>
      </c>
      <c r="P124" s="11" t="s">
        <v>421</v>
      </c>
    </row>
    <row r="125" spans="1:16" x14ac:dyDescent="0.3">
      <c r="A125" s="11" t="s">
        <v>335</v>
      </c>
      <c r="B125" s="11" t="s">
        <v>336</v>
      </c>
      <c r="C125" s="11" t="s">
        <v>665</v>
      </c>
      <c r="D125" s="11" t="s">
        <v>666</v>
      </c>
      <c r="E125" s="11" t="s">
        <v>320</v>
      </c>
      <c r="F125" s="11" t="s">
        <v>416</v>
      </c>
      <c r="G125" s="12" t="s">
        <v>417</v>
      </c>
      <c r="H125" s="12" t="s">
        <v>489</v>
      </c>
      <c r="I125" s="11" t="s">
        <v>668</v>
      </c>
      <c r="J125" s="11"/>
      <c r="K125" s="11"/>
      <c r="L125" s="11"/>
      <c r="M125" s="12"/>
      <c r="N125" s="12"/>
      <c r="O125" s="12" t="s">
        <v>420</v>
      </c>
      <c r="P125" s="11"/>
    </row>
    <row r="126" spans="1:16" x14ac:dyDescent="0.3">
      <c r="A126" s="11" t="s">
        <v>335</v>
      </c>
      <c r="B126" s="11" t="s">
        <v>336</v>
      </c>
      <c r="C126" s="11" t="s">
        <v>553</v>
      </c>
      <c r="D126" s="11" t="s">
        <v>553</v>
      </c>
      <c r="E126" s="11" t="s">
        <v>423</v>
      </c>
      <c r="F126" s="11" t="s">
        <v>524</v>
      </c>
      <c r="G126" s="12" t="s">
        <v>417</v>
      </c>
      <c r="H126" s="12"/>
      <c r="I126" s="11"/>
      <c r="J126" s="11"/>
      <c r="K126" s="11"/>
      <c r="L126" s="11" t="s">
        <v>586</v>
      </c>
      <c r="M126" s="12" t="s">
        <v>420</v>
      </c>
      <c r="N126" s="12" t="s">
        <v>420</v>
      </c>
      <c r="O126" s="12" t="s">
        <v>420</v>
      </c>
      <c r="P126" s="11"/>
    </row>
    <row r="127" spans="1:16" x14ac:dyDescent="0.3">
      <c r="A127" s="11" t="s">
        <v>335</v>
      </c>
      <c r="B127" s="11" t="s">
        <v>336</v>
      </c>
      <c r="C127" s="11" t="s">
        <v>686</v>
      </c>
      <c r="D127" s="11" t="s">
        <v>687</v>
      </c>
      <c r="E127" s="11" t="s">
        <v>688</v>
      </c>
      <c r="F127" s="11" t="s">
        <v>449</v>
      </c>
      <c r="G127" s="12" t="s">
        <v>417</v>
      </c>
      <c r="H127" s="12"/>
      <c r="I127" s="11"/>
      <c r="J127" s="11"/>
      <c r="K127" s="11"/>
      <c r="L127" s="11"/>
      <c r="M127" s="12" t="s">
        <v>420</v>
      </c>
      <c r="N127" s="12" t="s">
        <v>420</v>
      </c>
      <c r="O127" s="12" t="s">
        <v>420</v>
      </c>
      <c r="P127" s="11"/>
    </row>
    <row r="128" spans="1:16" x14ac:dyDescent="0.3">
      <c r="A128" s="11" t="s">
        <v>335</v>
      </c>
      <c r="B128" s="11" t="s">
        <v>336</v>
      </c>
      <c r="C128" s="11" t="s">
        <v>630</v>
      </c>
      <c r="D128" s="11" t="s">
        <v>631</v>
      </c>
      <c r="E128" s="11" t="s">
        <v>583</v>
      </c>
      <c r="F128" s="11" t="s">
        <v>584</v>
      </c>
      <c r="G128" s="12" t="s">
        <v>420</v>
      </c>
      <c r="H128" s="12"/>
      <c r="I128" s="11"/>
      <c r="J128" s="11"/>
      <c r="K128" s="11"/>
      <c r="L128" s="11" t="s">
        <v>632</v>
      </c>
      <c r="M128" s="12" t="s">
        <v>420</v>
      </c>
      <c r="N128" s="12" t="s">
        <v>420</v>
      </c>
      <c r="O128" s="12" t="s">
        <v>420</v>
      </c>
      <c r="P128" s="11"/>
    </row>
    <row r="129" spans="1:16" x14ac:dyDescent="0.3">
      <c r="A129" s="11" t="s">
        <v>335</v>
      </c>
      <c r="B129" s="11" t="s">
        <v>336</v>
      </c>
      <c r="C129" s="11" t="s">
        <v>689</v>
      </c>
      <c r="D129" s="11" t="s">
        <v>690</v>
      </c>
      <c r="E129" s="11" t="s">
        <v>583</v>
      </c>
      <c r="F129" s="11" t="s">
        <v>584</v>
      </c>
      <c r="G129" s="12" t="s">
        <v>420</v>
      </c>
      <c r="H129" s="12"/>
      <c r="I129" s="11"/>
      <c r="J129" s="11"/>
      <c r="K129" s="11"/>
      <c r="L129" s="11" t="s">
        <v>691</v>
      </c>
      <c r="M129" s="12" t="s">
        <v>420</v>
      </c>
      <c r="N129" s="12" t="s">
        <v>420</v>
      </c>
      <c r="O129" s="12" t="s">
        <v>420</v>
      </c>
      <c r="P129" s="11"/>
    </row>
    <row r="130" spans="1:16" x14ac:dyDescent="0.3">
      <c r="A130" s="11" t="s">
        <v>335</v>
      </c>
      <c r="B130" s="11" t="s">
        <v>336</v>
      </c>
      <c r="C130" s="11" t="s">
        <v>692</v>
      </c>
      <c r="D130" s="11" t="s">
        <v>692</v>
      </c>
      <c r="E130" s="11" t="s">
        <v>546</v>
      </c>
      <c r="F130" s="11" t="s">
        <v>635</v>
      </c>
      <c r="G130" s="12" t="s">
        <v>417</v>
      </c>
      <c r="H130" s="12"/>
      <c r="I130" s="11"/>
      <c r="J130" s="11"/>
      <c r="K130" s="11" t="s">
        <v>693</v>
      </c>
      <c r="L130" s="11" t="s">
        <v>694</v>
      </c>
      <c r="M130" s="12" t="s">
        <v>420</v>
      </c>
      <c r="N130" s="12" t="s">
        <v>420</v>
      </c>
      <c r="O130" s="12" t="s">
        <v>420</v>
      </c>
      <c r="P130" s="11"/>
    </row>
    <row r="131" spans="1:16" x14ac:dyDescent="0.3">
      <c r="A131" s="11" t="s">
        <v>335</v>
      </c>
      <c r="B131" s="11" t="s">
        <v>336</v>
      </c>
      <c r="C131" s="11" t="s">
        <v>572</v>
      </c>
      <c r="D131" s="11" t="s">
        <v>572</v>
      </c>
      <c r="E131" s="11" t="s">
        <v>458</v>
      </c>
      <c r="F131" s="11" t="s">
        <v>459</v>
      </c>
      <c r="G131" s="12" t="s">
        <v>417</v>
      </c>
      <c r="H131" s="12"/>
      <c r="I131" s="11"/>
      <c r="J131" s="11" t="s">
        <v>573</v>
      </c>
      <c r="K131" s="11"/>
      <c r="L131" s="11"/>
      <c r="M131" s="12" t="s">
        <v>420</v>
      </c>
      <c r="N131" s="12" t="s">
        <v>420</v>
      </c>
      <c r="O131" s="12" t="s">
        <v>420</v>
      </c>
      <c r="P131" s="11"/>
    </row>
    <row r="132" spans="1:16" x14ac:dyDescent="0.3">
      <c r="A132" s="11" t="s">
        <v>335</v>
      </c>
      <c r="B132" s="11" t="s">
        <v>336</v>
      </c>
      <c r="C132" s="11" t="s">
        <v>479</v>
      </c>
      <c r="D132" s="11" t="s">
        <v>480</v>
      </c>
      <c r="E132" s="11" t="s">
        <v>477</v>
      </c>
      <c r="F132" s="11" t="s">
        <v>478</v>
      </c>
      <c r="G132" s="12" t="s">
        <v>417</v>
      </c>
      <c r="H132" s="12"/>
      <c r="I132" s="11"/>
      <c r="J132" s="11" t="s">
        <v>481</v>
      </c>
      <c r="K132" s="11"/>
      <c r="L132" s="11" t="s">
        <v>482</v>
      </c>
      <c r="M132" s="12"/>
      <c r="N132" s="12"/>
      <c r="O132" s="12" t="s">
        <v>420</v>
      </c>
      <c r="P132" s="11" t="s">
        <v>483</v>
      </c>
    </row>
    <row r="133" spans="1:16" x14ac:dyDescent="0.3">
      <c r="A133" s="11" t="s">
        <v>335</v>
      </c>
      <c r="B133" s="11" t="s">
        <v>336</v>
      </c>
      <c r="C133" s="11" t="s">
        <v>484</v>
      </c>
      <c r="D133" s="11" t="s">
        <v>485</v>
      </c>
      <c r="E133" s="11" t="s">
        <v>477</v>
      </c>
      <c r="F133" s="11" t="s">
        <v>478</v>
      </c>
      <c r="G133" s="12" t="s">
        <v>417</v>
      </c>
      <c r="H133" s="12"/>
      <c r="I133" s="11"/>
      <c r="J133" s="11" t="s">
        <v>481</v>
      </c>
      <c r="K133" s="11"/>
      <c r="L133" s="11" t="s">
        <v>482</v>
      </c>
      <c r="M133" s="12"/>
      <c r="N133" s="12"/>
      <c r="O133" s="12" t="s">
        <v>420</v>
      </c>
      <c r="P133" s="11" t="s">
        <v>486</v>
      </c>
    </row>
    <row r="134" spans="1:16" ht="26.4" x14ac:dyDescent="0.3">
      <c r="A134" s="10" t="s">
        <v>338</v>
      </c>
      <c r="B134" s="10" t="s">
        <v>339</v>
      </c>
      <c r="C134" s="10" t="s">
        <v>414</v>
      </c>
      <c r="D134" s="10" t="s">
        <v>414</v>
      </c>
      <c r="E134" s="10" t="s">
        <v>415</v>
      </c>
      <c r="F134" s="10" t="s">
        <v>416</v>
      </c>
      <c r="G134" s="13" t="s">
        <v>417</v>
      </c>
      <c r="H134" s="13" t="s">
        <v>418</v>
      </c>
      <c r="I134" s="10"/>
      <c r="J134" s="10" t="s">
        <v>419</v>
      </c>
      <c r="K134" s="10"/>
      <c r="L134" s="10"/>
      <c r="M134" s="13"/>
      <c r="N134" s="13"/>
      <c r="O134" s="13" t="s">
        <v>420</v>
      </c>
      <c r="P134" s="10" t="s">
        <v>421</v>
      </c>
    </row>
    <row r="135" spans="1:16" x14ac:dyDescent="0.3">
      <c r="A135" s="10" t="s">
        <v>338</v>
      </c>
      <c r="B135" s="10" t="s">
        <v>339</v>
      </c>
      <c r="C135" s="10" t="s">
        <v>665</v>
      </c>
      <c r="D135" s="10" t="s">
        <v>666</v>
      </c>
      <c r="E135" s="10" t="s">
        <v>320</v>
      </c>
      <c r="F135" s="10" t="s">
        <v>416</v>
      </c>
      <c r="G135" s="13" t="s">
        <v>417</v>
      </c>
      <c r="H135" s="13" t="s">
        <v>489</v>
      </c>
      <c r="I135" s="10" t="s">
        <v>668</v>
      </c>
      <c r="J135" s="10"/>
      <c r="K135" s="10"/>
      <c r="L135" s="10"/>
      <c r="M135" s="13"/>
      <c r="N135" s="13"/>
      <c r="O135" s="13" t="s">
        <v>420</v>
      </c>
      <c r="P135" s="10" t="s">
        <v>695</v>
      </c>
    </row>
    <row r="136" spans="1:16" x14ac:dyDescent="0.3">
      <c r="A136" s="10" t="s">
        <v>338</v>
      </c>
      <c r="B136" s="10" t="s">
        <v>339</v>
      </c>
      <c r="C136" s="10" t="s">
        <v>696</v>
      </c>
      <c r="D136" s="10" t="s">
        <v>697</v>
      </c>
      <c r="E136" s="10" t="s">
        <v>444</v>
      </c>
      <c r="F136" s="10" t="s">
        <v>445</v>
      </c>
      <c r="G136" s="13" t="s">
        <v>417</v>
      </c>
      <c r="H136" s="13"/>
      <c r="I136" s="10"/>
      <c r="J136" s="10"/>
      <c r="K136" s="10"/>
      <c r="L136" s="10" t="s">
        <v>698</v>
      </c>
      <c r="M136" s="13" t="s">
        <v>420</v>
      </c>
      <c r="N136" s="13" t="s">
        <v>420</v>
      </c>
      <c r="O136" s="13" t="s">
        <v>420</v>
      </c>
      <c r="P136" s="10"/>
    </row>
    <row r="137" spans="1:16" x14ac:dyDescent="0.3">
      <c r="A137" s="10" t="s">
        <v>338</v>
      </c>
      <c r="B137" s="10" t="s">
        <v>339</v>
      </c>
      <c r="C137" s="10" t="s">
        <v>699</v>
      </c>
      <c r="D137" s="10" t="s">
        <v>700</v>
      </c>
      <c r="E137" s="10" t="s">
        <v>701</v>
      </c>
      <c r="F137" s="10" t="s">
        <v>702</v>
      </c>
      <c r="G137" s="13" t="s">
        <v>417</v>
      </c>
      <c r="H137" s="13"/>
      <c r="I137" s="10"/>
      <c r="J137" s="10"/>
      <c r="K137" s="10"/>
      <c r="L137" s="10" t="s">
        <v>703</v>
      </c>
      <c r="M137" s="13" t="s">
        <v>420</v>
      </c>
      <c r="N137" s="13" t="s">
        <v>420</v>
      </c>
      <c r="O137" s="13" t="s">
        <v>420</v>
      </c>
      <c r="P137" s="10" t="s">
        <v>704</v>
      </c>
    </row>
    <row r="138" spans="1:16" x14ac:dyDescent="0.3">
      <c r="A138" s="10" t="s">
        <v>338</v>
      </c>
      <c r="B138" s="10" t="s">
        <v>339</v>
      </c>
      <c r="C138" s="10" t="s">
        <v>705</v>
      </c>
      <c r="D138" s="10" t="s">
        <v>706</v>
      </c>
      <c r="E138" s="10" t="s">
        <v>701</v>
      </c>
      <c r="F138" s="10" t="s">
        <v>702</v>
      </c>
      <c r="G138" s="13" t="s">
        <v>417</v>
      </c>
      <c r="H138" s="13"/>
      <c r="I138" s="10"/>
      <c r="J138" s="10"/>
      <c r="K138" s="10" t="s">
        <v>707</v>
      </c>
      <c r="L138" s="10" t="s">
        <v>708</v>
      </c>
      <c r="M138" s="13" t="s">
        <v>420</v>
      </c>
      <c r="N138" s="13" t="s">
        <v>420</v>
      </c>
      <c r="O138" s="13" t="s">
        <v>420</v>
      </c>
      <c r="P138" s="10"/>
    </row>
    <row r="139" spans="1:16" x14ac:dyDescent="0.3">
      <c r="A139" s="10" t="s">
        <v>338</v>
      </c>
      <c r="B139" s="10" t="s">
        <v>339</v>
      </c>
      <c r="C139" s="10" t="s">
        <v>709</v>
      </c>
      <c r="D139" s="10" t="s">
        <v>709</v>
      </c>
      <c r="E139" s="10" t="s">
        <v>583</v>
      </c>
      <c r="F139" s="10" t="s">
        <v>584</v>
      </c>
      <c r="G139" s="13" t="s">
        <v>417</v>
      </c>
      <c r="H139" s="13"/>
      <c r="I139" s="10"/>
      <c r="J139" s="10"/>
      <c r="K139" s="10" t="s">
        <v>710</v>
      </c>
      <c r="L139" s="10" t="s">
        <v>711</v>
      </c>
      <c r="M139" s="13" t="s">
        <v>420</v>
      </c>
      <c r="N139" s="13" t="s">
        <v>420</v>
      </c>
      <c r="O139" s="13" t="s">
        <v>420</v>
      </c>
      <c r="P139" s="10"/>
    </row>
    <row r="140" spans="1:16" ht="26.4" x14ac:dyDescent="0.3">
      <c r="A140" s="10" t="s">
        <v>338</v>
      </c>
      <c r="B140" s="10" t="s">
        <v>339</v>
      </c>
      <c r="C140" s="10" t="s">
        <v>712</v>
      </c>
      <c r="D140" s="10" t="s">
        <v>713</v>
      </c>
      <c r="E140" s="10" t="s">
        <v>583</v>
      </c>
      <c r="F140" s="10" t="s">
        <v>584</v>
      </c>
      <c r="G140" s="13" t="s">
        <v>417</v>
      </c>
      <c r="H140" s="13"/>
      <c r="I140" s="10"/>
      <c r="J140" s="10" t="s">
        <v>585</v>
      </c>
      <c r="K140" s="10" t="s">
        <v>714</v>
      </c>
      <c r="L140" s="10"/>
      <c r="M140" s="13"/>
      <c r="N140" s="13"/>
      <c r="O140" s="13" t="s">
        <v>420</v>
      </c>
      <c r="P140" s="10" t="s">
        <v>715</v>
      </c>
    </row>
    <row r="141" spans="1:16" x14ac:dyDescent="0.3">
      <c r="A141" s="10" t="s">
        <v>338</v>
      </c>
      <c r="B141" s="10" t="s">
        <v>339</v>
      </c>
      <c r="C141" s="10" t="s">
        <v>716</v>
      </c>
      <c r="D141" s="10" t="s">
        <v>717</v>
      </c>
      <c r="E141" s="10" t="s">
        <v>546</v>
      </c>
      <c r="F141" s="10" t="s">
        <v>718</v>
      </c>
      <c r="G141" s="13" t="s">
        <v>420</v>
      </c>
      <c r="H141" s="13"/>
      <c r="I141" s="10"/>
      <c r="J141" s="10"/>
      <c r="K141" s="10"/>
      <c r="L141" s="10" t="s">
        <v>719</v>
      </c>
      <c r="M141" s="13" t="s">
        <v>420</v>
      </c>
      <c r="N141" s="13" t="s">
        <v>420</v>
      </c>
      <c r="O141" s="13" t="s">
        <v>420</v>
      </c>
      <c r="P141" s="10" t="s">
        <v>720</v>
      </c>
    </row>
    <row r="142" spans="1:16" x14ac:dyDescent="0.3">
      <c r="A142" s="10" t="s">
        <v>338</v>
      </c>
      <c r="B142" s="10" t="s">
        <v>339</v>
      </c>
      <c r="C142" s="10" t="s">
        <v>721</v>
      </c>
      <c r="D142" s="10" t="s">
        <v>722</v>
      </c>
      <c r="E142" s="10" t="s">
        <v>583</v>
      </c>
      <c r="F142" s="10" t="s">
        <v>584</v>
      </c>
      <c r="G142" s="13" t="s">
        <v>417</v>
      </c>
      <c r="H142" s="13"/>
      <c r="I142" s="10"/>
      <c r="J142" s="10" t="s">
        <v>723</v>
      </c>
      <c r="K142" s="10"/>
      <c r="L142" s="10" t="s">
        <v>632</v>
      </c>
      <c r="M142" s="13" t="s">
        <v>420</v>
      </c>
      <c r="N142" s="13" t="s">
        <v>420</v>
      </c>
      <c r="O142" s="13" t="s">
        <v>420</v>
      </c>
      <c r="P142" s="10" t="s">
        <v>724</v>
      </c>
    </row>
    <row r="143" spans="1:16" x14ac:dyDescent="0.3">
      <c r="A143" s="10" t="s">
        <v>338</v>
      </c>
      <c r="B143" s="10" t="s">
        <v>339</v>
      </c>
      <c r="C143" s="10" t="s">
        <v>452</v>
      </c>
      <c r="D143" s="10" t="s">
        <v>452</v>
      </c>
      <c r="E143" s="10" t="s">
        <v>725</v>
      </c>
      <c r="F143" s="10" t="s">
        <v>449</v>
      </c>
      <c r="G143" s="13" t="s">
        <v>417</v>
      </c>
      <c r="H143" s="13"/>
      <c r="I143" s="10"/>
      <c r="J143" s="10" t="s">
        <v>726</v>
      </c>
      <c r="K143" s="10"/>
      <c r="L143" s="10"/>
      <c r="M143" s="13"/>
      <c r="N143" s="13" t="s">
        <v>420</v>
      </c>
      <c r="O143" s="13" t="s">
        <v>420</v>
      </c>
      <c r="P143" s="10" t="s">
        <v>727</v>
      </c>
    </row>
    <row r="144" spans="1:16" x14ac:dyDescent="0.3">
      <c r="A144" s="10" t="s">
        <v>338</v>
      </c>
      <c r="B144" s="10" t="s">
        <v>339</v>
      </c>
      <c r="C144" s="10" t="s">
        <v>728</v>
      </c>
      <c r="D144" s="10" t="s">
        <v>728</v>
      </c>
      <c r="E144" s="10" t="s">
        <v>415</v>
      </c>
      <c r="F144" s="10" t="s">
        <v>416</v>
      </c>
      <c r="G144" s="13" t="s">
        <v>417</v>
      </c>
      <c r="H144" s="13"/>
      <c r="I144" s="10"/>
      <c r="J144" s="10" t="s">
        <v>585</v>
      </c>
      <c r="K144" s="10"/>
      <c r="L144" s="10"/>
      <c r="M144" s="13"/>
      <c r="N144" s="13"/>
      <c r="O144" s="13" t="s">
        <v>420</v>
      </c>
      <c r="P144" s="10" t="s">
        <v>729</v>
      </c>
    </row>
    <row r="145" spans="1:16" x14ac:dyDescent="0.3">
      <c r="A145" s="10" t="s">
        <v>338</v>
      </c>
      <c r="B145" s="10" t="s">
        <v>339</v>
      </c>
      <c r="C145" s="10" t="s">
        <v>479</v>
      </c>
      <c r="D145" s="10" t="s">
        <v>480</v>
      </c>
      <c r="E145" s="10" t="s">
        <v>477</v>
      </c>
      <c r="F145" s="10" t="s">
        <v>478</v>
      </c>
      <c r="G145" s="13" t="s">
        <v>417</v>
      </c>
      <c r="H145" s="13"/>
      <c r="I145" s="10"/>
      <c r="J145" s="10" t="s">
        <v>481</v>
      </c>
      <c r="K145" s="10"/>
      <c r="L145" s="10" t="s">
        <v>482</v>
      </c>
      <c r="M145" s="13"/>
      <c r="N145" s="13"/>
      <c r="O145" s="13" t="s">
        <v>420</v>
      </c>
      <c r="P145" s="10" t="s">
        <v>483</v>
      </c>
    </row>
    <row r="146" spans="1:16" x14ac:dyDescent="0.3">
      <c r="A146" s="10" t="s">
        <v>338</v>
      </c>
      <c r="B146" s="10" t="s">
        <v>339</v>
      </c>
      <c r="C146" s="10" t="s">
        <v>484</v>
      </c>
      <c r="D146" s="10" t="s">
        <v>485</v>
      </c>
      <c r="E146" s="10" t="s">
        <v>477</v>
      </c>
      <c r="F146" s="10" t="s">
        <v>478</v>
      </c>
      <c r="G146" s="13" t="s">
        <v>417</v>
      </c>
      <c r="H146" s="13"/>
      <c r="I146" s="10"/>
      <c r="J146" s="10" t="s">
        <v>481</v>
      </c>
      <c r="K146" s="10"/>
      <c r="L146" s="10" t="s">
        <v>482</v>
      </c>
      <c r="M146" s="13"/>
      <c r="N146" s="13"/>
      <c r="O146" s="13" t="s">
        <v>420</v>
      </c>
      <c r="P146" s="10" t="s">
        <v>486</v>
      </c>
    </row>
    <row r="147" spans="1:16" ht="26.4" x14ac:dyDescent="0.3">
      <c r="A147" s="11" t="s">
        <v>341</v>
      </c>
      <c r="B147" s="11" t="s">
        <v>342</v>
      </c>
      <c r="C147" s="11" t="s">
        <v>414</v>
      </c>
      <c r="D147" s="11" t="s">
        <v>414</v>
      </c>
      <c r="E147" s="11" t="s">
        <v>415</v>
      </c>
      <c r="F147" s="11" t="s">
        <v>416</v>
      </c>
      <c r="G147" s="12" t="s">
        <v>417</v>
      </c>
      <c r="H147" s="12" t="s">
        <v>418</v>
      </c>
      <c r="I147" s="11"/>
      <c r="J147" s="11" t="s">
        <v>419</v>
      </c>
      <c r="K147" s="11"/>
      <c r="L147" s="11"/>
      <c r="M147" s="12"/>
      <c r="N147" s="12"/>
      <c r="O147" s="12" t="s">
        <v>420</v>
      </c>
      <c r="P147" s="11" t="s">
        <v>421</v>
      </c>
    </row>
    <row r="148" spans="1:16" x14ac:dyDescent="0.3">
      <c r="A148" s="11" t="s">
        <v>341</v>
      </c>
      <c r="B148" s="11" t="s">
        <v>342</v>
      </c>
      <c r="C148" s="11" t="s">
        <v>665</v>
      </c>
      <c r="D148" s="11" t="s">
        <v>666</v>
      </c>
      <c r="E148" s="11" t="s">
        <v>320</v>
      </c>
      <c r="F148" s="11" t="s">
        <v>416</v>
      </c>
      <c r="G148" s="12" t="s">
        <v>417</v>
      </c>
      <c r="H148" s="12" t="s">
        <v>489</v>
      </c>
      <c r="I148" s="11" t="s">
        <v>668</v>
      </c>
      <c r="J148" s="11"/>
      <c r="K148" s="11"/>
      <c r="L148" s="11"/>
      <c r="M148" s="12"/>
      <c r="N148" s="12"/>
      <c r="O148" s="12" t="s">
        <v>420</v>
      </c>
      <c r="P148" s="11"/>
    </row>
    <row r="149" spans="1:16" x14ac:dyDescent="0.3">
      <c r="A149" s="11" t="s">
        <v>341</v>
      </c>
      <c r="B149" s="11" t="s">
        <v>342</v>
      </c>
      <c r="C149" s="11" t="s">
        <v>730</v>
      </c>
      <c r="D149" s="11" t="s">
        <v>731</v>
      </c>
      <c r="E149" s="11" t="s">
        <v>444</v>
      </c>
      <c r="F149" s="11" t="s">
        <v>445</v>
      </c>
      <c r="G149" s="12" t="s">
        <v>417</v>
      </c>
      <c r="H149" s="12"/>
      <c r="I149" s="11"/>
      <c r="J149" s="11"/>
      <c r="K149" s="11"/>
      <c r="L149" s="11" t="s">
        <v>698</v>
      </c>
      <c r="M149" s="12" t="s">
        <v>420</v>
      </c>
      <c r="N149" s="12"/>
      <c r="O149" s="12" t="s">
        <v>420</v>
      </c>
      <c r="P149" s="11"/>
    </row>
    <row r="150" spans="1:16" x14ac:dyDescent="0.3">
      <c r="A150" s="11" t="s">
        <v>341</v>
      </c>
      <c r="B150" s="11" t="s">
        <v>342</v>
      </c>
      <c r="C150" s="11" t="s">
        <v>732</v>
      </c>
      <c r="D150" s="11" t="s">
        <v>732</v>
      </c>
      <c r="E150" s="11" t="s">
        <v>423</v>
      </c>
      <c r="F150" s="11" t="s">
        <v>509</v>
      </c>
      <c r="G150" s="12" t="s">
        <v>420</v>
      </c>
      <c r="H150" s="12"/>
      <c r="I150" s="11"/>
      <c r="J150" s="11"/>
      <c r="K150" s="11"/>
      <c r="L150" s="11"/>
      <c r="M150" s="12" t="s">
        <v>420</v>
      </c>
      <c r="N150" s="12"/>
      <c r="O150" s="12" t="s">
        <v>420</v>
      </c>
      <c r="P150" s="11"/>
    </row>
    <row r="151" spans="1:16" x14ac:dyDescent="0.3">
      <c r="A151" s="11" t="s">
        <v>341</v>
      </c>
      <c r="B151" s="11" t="s">
        <v>342</v>
      </c>
      <c r="C151" s="11" t="s">
        <v>479</v>
      </c>
      <c r="D151" s="11" t="s">
        <v>480</v>
      </c>
      <c r="E151" s="11" t="s">
        <v>477</v>
      </c>
      <c r="F151" s="11" t="s">
        <v>478</v>
      </c>
      <c r="G151" s="12" t="s">
        <v>417</v>
      </c>
      <c r="H151" s="12"/>
      <c r="I151" s="11"/>
      <c r="J151" s="11" t="s">
        <v>481</v>
      </c>
      <c r="K151" s="11"/>
      <c r="L151" s="11" t="s">
        <v>482</v>
      </c>
      <c r="M151" s="12"/>
      <c r="N151" s="12"/>
      <c r="O151" s="12" t="s">
        <v>420</v>
      </c>
      <c r="P151" s="11" t="s">
        <v>483</v>
      </c>
    </row>
    <row r="152" spans="1:16" ht="26.4" x14ac:dyDescent="0.3">
      <c r="A152" s="10" t="s">
        <v>95</v>
      </c>
      <c r="B152" s="10" t="s">
        <v>344</v>
      </c>
      <c r="C152" s="10" t="s">
        <v>414</v>
      </c>
      <c r="D152" s="10" t="s">
        <v>414</v>
      </c>
      <c r="E152" s="10" t="s">
        <v>415</v>
      </c>
      <c r="F152" s="10" t="s">
        <v>416</v>
      </c>
      <c r="G152" s="13" t="s">
        <v>417</v>
      </c>
      <c r="H152" s="13" t="s">
        <v>418</v>
      </c>
      <c r="I152" s="10"/>
      <c r="J152" s="10" t="s">
        <v>419</v>
      </c>
      <c r="K152" s="10"/>
      <c r="L152" s="10"/>
      <c r="M152" s="13"/>
      <c r="N152" s="13"/>
      <c r="O152" s="13" t="s">
        <v>420</v>
      </c>
      <c r="P152" s="10" t="s">
        <v>421</v>
      </c>
    </row>
    <row r="153" spans="1:16" x14ac:dyDescent="0.3">
      <c r="A153" s="10" t="s">
        <v>95</v>
      </c>
      <c r="B153" s="10" t="s">
        <v>344</v>
      </c>
      <c r="C153" s="10" t="s">
        <v>487</v>
      </c>
      <c r="D153" s="10" t="s">
        <v>488</v>
      </c>
      <c r="E153" s="10" t="s">
        <v>298</v>
      </c>
      <c r="F153" s="10" t="s">
        <v>416</v>
      </c>
      <c r="G153" s="13" t="s">
        <v>417</v>
      </c>
      <c r="H153" s="13" t="s">
        <v>505</v>
      </c>
      <c r="I153" s="10" t="s">
        <v>490</v>
      </c>
      <c r="J153" s="10"/>
      <c r="K153" s="10"/>
      <c r="L153" s="10"/>
      <c r="M153" s="13"/>
      <c r="N153" s="13"/>
      <c r="O153" s="13" t="s">
        <v>420</v>
      </c>
      <c r="P153" s="10"/>
    </row>
    <row r="154" spans="1:16" x14ac:dyDescent="0.3">
      <c r="A154" s="10" t="s">
        <v>95</v>
      </c>
      <c r="B154" s="10" t="s">
        <v>344</v>
      </c>
      <c r="C154" s="10" t="s">
        <v>733</v>
      </c>
      <c r="D154" s="10" t="s">
        <v>734</v>
      </c>
      <c r="E154" s="10" t="s">
        <v>358</v>
      </c>
      <c r="F154" s="10" t="s">
        <v>416</v>
      </c>
      <c r="G154" s="13" t="s">
        <v>420</v>
      </c>
      <c r="H154" s="13" t="s">
        <v>489</v>
      </c>
      <c r="I154" s="10" t="s">
        <v>735</v>
      </c>
      <c r="J154" s="10"/>
      <c r="K154" s="10"/>
      <c r="L154" s="10"/>
      <c r="M154" s="13"/>
      <c r="N154" s="13"/>
      <c r="O154" s="13" t="s">
        <v>420</v>
      </c>
      <c r="P154" s="10" t="s">
        <v>736</v>
      </c>
    </row>
    <row r="155" spans="1:16" x14ac:dyDescent="0.3">
      <c r="A155" s="10" t="s">
        <v>95</v>
      </c>
      <c r="B155" s="10" t="s">
        <v>344</v>
      </c>
      <c r="C155" s="10" t="s">
        <v>479</v>
      </c>
      <c r="D155" s="10" t="s">
        <v>480</v>
      </c>
      <c r="E155" s="10" t="s">
        <v>477</v>
      </c>
      <c r="F155" s="10" t="s">
        <v>478</v>
      </c>
      <c r="G155" s="13" t="s">
        <v>417</v>
      </c>
      <c r="H155" s="13"/>
      <c r="I155" s="10"/>
      <c r="J155" s="10" t="s">
        <v>481</v>
      </c>
      <c r="K155" s="10"/>
      <c r="L155" s="10" t="s">
        <v>482</v>
      </c>
      <c r="M155" s="13"/>
      <c r="N155" s="13"/>
      <c r="O155" s="13" t="s">
        <v>420</v>
      </c>
      <c r="P155" s="10" t="s">
        <v>483</v>
      </c>
    </row>
    <row r="156" spans="1:16" x14ac:dyDescent="0.3">
      <c r="A156" s="10" t="s">
        <v>95</v>
      </c>
      <c r="B156" s="10" t="s">
        <v>344</v>
      </c>
      <c r="C156" s="10" t="s">
        <v>484</v>
      </c>
      <c r="D156" s="10" t="s">
        <v>485</v>
      </c>
      <c r="E156" s="10" t="s">
        <v>477</v>
      </c>
      <c r="F156" s="10" t="s">
        <v>478</v>
      </c>
      <c r="G156" s="13" t="s">
        <v>417</v>
      </c>
      <c r="H156" s="13"/>
      <c r="I156" s="10"/>
      <c r="J156" s="10" t="s">
        <v>481</v>
      </c>
      <c r="K156" s="10"/>
      <c r="L156" s="10" t="s">
        <v>482</v>
      </c>
      <c r="M156" s="13"/>
      <c r="N156" s="13"/>
      <c r="O156" s="13" t="s">
        <v>420</v>
      </c>
      <c r="P156" s="10" t="s">
        <v>486</v>
      </c>
    </row>
    <row r="157" spans="1:16" ht="26.4" x14ac:dyDescent="0.3">
      <c r="A157" s="11" t="s">
        <v>347</v>
      </c>
      <c r="B157" s="11" t="s">
        <v>348</v>
      </c>
      <c r="C157" s="11" t="s">
        <v>414</v>
      </c>
      <c r="D157" s="11" t="s">
        <v>414</v>
      </c>
      <c r="E157" s="11" t="s">
        <v>415</v>
      </c>
      <c r="F157" s="11" t="s">
        <v>416</v>
      </c>
      <c r="G157" s="12" t="s">
        <v>417</v>
      </c>
      <c r="H157" s="12" t="s">
        <v>418</v>
      </c>
      <c r="I157" s="11"/>
      <c r="J157" s="11" t="s">
        <v>419</v>
      </c>
      <c r="K157" s="11"/>
      <c r="L157" s="11"/>
      <c r="M157" s="12"/>
      <c r="N157" s="12"/>
      <c r="O157" s="12" t="s">
        <v>420</v>
      </c>
      <c r="P157" s="11" t="s">
        <v>421</v>
      </c>
    </row>
    <row r="158" spans="1:16" x14ac:dyDescent="0.3">
      <c r="A158" s="11" t="s">
        <v>347</v>
      </c>
      <c r="B158" s="11" t="s">
        <v>348</v>
      </c>
      <c r="C158" s="11" t="s">
        <v>737</v>
      </c>
      <c r="D158" s="11" t="s">
        <v>738</v>
      </c>
      <c r="E158" s="11" t="s">
        <v>95</v>
      </c>
      <c r="F158" s="11" t="s">
        <v>416</v>
      </c>
      <c r="G158" s="12" t="s">
        <v>417</v>
      </c>
      <c r="H158" s="12" t="s">
        <v>489</v>
      </c>
      <c r="I158" s="11" t="s">
        <v>739</v>
      </c>
      <c r="J158" s="11"/>
      <c r="K158" s="11"/>
      <c r="L158" s="11"/>
      <c r="M158" s="12"/>
      <c r="N158" s="12"/>
      <c r="O158" s="12" t="s">
        <v>420</v>
      </c>
      <c r="P158" s="11"/>
    </row>
    <row r="159" spans="1:16" x14ac:dyDescent="0.3">
      <c r="A159" s="11" t="s">
        <v>347</v>
      </c>
      <c r="B159" s="11" t="s">
        <v>348</v>
      </c>
      <c r="C159" s="11" t="s">
        <v>740</v>
      </c>
      <c r="D159" s="11" t="s">
        <v>741</v>
      </c>
      <c r="E159" s="11" t="s">
        <v>338</v>
      </c>
      <c r="F159" s="11" t="s">
        <v>416</v>
      </c>
      <c r="G159" s="12" t="s">
        <v>417</v>
      </c>
      <c r="H159" s="12" t="s">
        <v>489</v>
      </c>
      <c r="I159" s="11" t="s">
        <v>742</v>
      </c>
      <c r="J159" s="11"/>
      <c r="K159" s="11"/>
      <c r="L159" s="11"/>
      <c r="M159" s="12" t="s">
        <v>420</v>
      </c>
      <c r="N159" s="12"/>
      <c r="O159" s="12" t="s">
        <v>420</v>
      </c>
      <c r="P159" s="11" t="s">
        <v>743</v>
      </c>
    </row>
    <row r="160" spans="1:16" x14ac:dyDescent="0.3">
      <c r="A160" s="11" t="s">
        <v>347</v>
      </c>
      <c r="B160" s="11" t="s">
        <v>348</v>
      </c>
      <c r="C160" s="11" t="s">
        <v>744</v>
      </c>
      <c r="D160" s="11" t="s">
        <v>745</v>
      </c>
      <c r="E160" s="11" t="s">
        <v>335</v>
      </c>
      <c r="F160" s="11" t="s">
        <v>416</v>
      </c>
      <c r="G160" s="12" t="s">
        <v>417</v>
      </c>
      <c r="H160" s="12" t="s">
        <v>489</v>
      </c>
      <c r="I160" s="11" t="s">
        <v>746</v>
      </c>
      <c r="J160" s="11"/>
      <c r="K160" s="11"/>
      <c r="L160" s="11"/>
      <c r="M160" s="12" t="s">
        <v>420</v>
      </c>
      <c r="N160" s="12"/>
      <c r="O160" s="12" t="s">
        <v>420</v>
      </c>
      <c r="P160" s="11" t="s">
        <v>747</v>
      </c>
    </row>
    <row r="161" spans="1:16" x14ac:dyDescent="0.3">
      <c r="A161" s="11" t="s">
        <v>347</v>
      </c>
      <c r="B161" s="11" t="s">
        <v>348</v>
      </c>
      <c r="C161" s="11" t="s">
        <v>748</v>
      </c>
      <c r="D161" s="11" t="s">
        <v>748</v>
      </c>
      <c r="E161" s="11" t="s">
        <v>583</v>
      </c>
      <c r="F161" s="11" t="s">
        <v>584</v>
      </c>
      <c r="G161" s="12" t="s">
        <v>417</v>
      </c>
      <c r="H161" s="12"/>
      <c r="I161" s="11"/>
      <c r="J161" s="11"/>
      <c r="K161" s="11" t="s">
        <v>749</v>
      </c>
      <c r="L161" s="11" t="s">
        <v>750</v>
      </c>
      <c r="M161" s="12" t="s">
        <v>420</v>
      </c>
      <c r="N161" s="12" t="s">
        <v>420</v>
      </c>
      <c r="O161" s="12" t="s">
        <v>420</v>
      </c>
      <c r="P161" s="11"/>
    </row>
    <row r="162" spans="1:16" x14ac:dyDescent="0.3">
      <c r="A162" s="11" t="s">
        <v>347</v>
      </c>
      <c r="B162" s="11" t="s">
        <v>348</v>
      </c>
      <c r="C162" s="11" t="s">
        <v>751</v>
      </c>
      <c r="D162" s="11" t="s">
        <v>752</v>
      </c>
      <c r="E162" s="11" t="s">
        <v>546</v>
      </c>
      <c r="F162" s="11" t="s">
        <v>635</v>
      </c>
      <c r="G162" s="12" t="s">
        <v>417</v>
      </c>
      <c r="H162" s="12"/>
      <c r="I162" s="11"/>
      <c r="J162" s="11"/>
      <c r="K162" s="11"/>
      <c r="L162" s="11"/>
      <c r="M162" s="12"/>
      <c r="N162" s="12"/>
      <c r="O162" s="12" t="s">
        <v>420</v>
      </c>
      <c r="P162" s="11" t="s">
        <v>753</v>
      </c>
    </row>
    <row r="163" spans="1:16" x14ac:dyDescent="0.3">
      <c r="A163" s="11" t="s">
        <v>347</v>
      </c>
      <c r="B163" s="11" t="s">
        <v>348</v>
      </c>
      <c r="C163" s="11" t="s">
        <v>479</v>
      </c>
      <c r="D163" s="11" t="s">
        <v>480</v>
      </c>
      <c r="E163" s="11" t="s">
        <v>477</v>
      </c>
      <c r="F163" s="11" t="s">
        <v>478</v>
      </c>
      <c r="G163" s="12" t="s">
        <v>417</v>
      </c>
      <c r="H163" s="12"/>
      <c r="I163" s="11"/>
      <c r="J163" s="11" t="s">
        <v>481</v>
      </c>
      <c r="K163" s="11"/>
      <c r="L163" s="11" t="s">
        <v>482</v>
      </c>
      <c r="M163" s="12"/>
      <c r="N163" s="12"/>
      <c r="O163" s="12" t="s">
        <v>420</v>
      </c>
      <c r="P163" s="11" t="s">
        <v>483</v>
      </c>
    </row>
    <row r="164" spans="1:16" x14ac:dyDescent="0.3">
      <c r="A164" s="11" t="s">
        <v>347</v>
      </c>
      <c r="B164" s="11" t="s">
        <v>348</v>
      </c>
      <c r="C164" s="11" t="s">
        <v>484</v>
      </c>
      <c r="D164" s="11" t="s">
        <v>485</v>
      </c>
      <c r="E164" s="11" t="s">
        <v>477</v>
      </c>
      <c r="F164" s="11" t="s">
        <v>478</v>
      </c>
      <c r="G164" s="12" t="s">
        <v>417</v>
      </c>
      <c r="H164" s="12"/>
      <c r="I164" s="11"/>
      <c r="J164" s="11" t="s">
        <v>481</v>
      </c>
      <c r="K164" s="11"/>
      <c r="L164" s="11" t="s">
        <v>482</v>
      </c>
      <c r="M164" s="12"/>
      <c r="N164" s="12"/>
      <c r="O164" s="12" t="s">
        <v>420</v>
      </c>
      <c r="P164" s="11" t="s">
        <v>486</v>
      </c>
    </row>
    <row r="165" spans="1:16" ht="26.4" x14ac:dyDescent="0.3">
      <c r="A165" s="10" t="s">
        <v>345</v>
      </c>
      <c r="B165" s="10" t="s">
        <v>350</v>
      </c>
      <c r="C165" s="10" t="s">
        <v>414</v>
      </c>
      <c r="D165" s="10" t="s">
        <v>414</v>
      </c>
      <c r="E165" s="10" t="s">
        <v>415</v>
      </c>
      <c r="F165" s="10" t="s">
        <v>416</v>
      </c>
      <c r="G165" s="13" t="s">
        <v>417</v>
      </c>
      <c r="H165" s="13" t="s">
        <v>418</v>
      </c>
      <c r="I165" s="10"/>
      <c r="J165" s="10" t="s">
        <v>419</v>
      </c>
      <c r="K165" s="10"/>
      <c r="L165" s="10"/>
      <c r="M165" s="13"/>
      <c r="N165" s="13"/>
      <c r="O165" s="13" t="s">
        <v>420</v>
      </c>
      <c r="P165" s="10" t="s">
        <v>421</v>
      </c>
    </row>
    <row r="166" spans="1:16" x14ac:dyDescent="0.3">
      <c r="A166" s="10" t="s">
        <v>345</v>
      </c>
      <c r="B166" s="10" t="s">
        <v>350</v>
      </c>
      <c r="C166" s="10" t="s">
        <v>754</v>
      </c>
      <c r="D166" s="10" t="s">
        <v>755</v>
      </c>
      <c r="E166" s="10" t="s">
        <v>423</v>
      </c>
      <c r="F166" s="10" t="s">
        <v>440</v>
      </c>
      <c r="G166" s="13" t="s">
        <v>417</v>
      </c>
      <c r="H166" s="13" t="s">
        <v>425</v>
      </c>
      <c r="I166" s="10"/>
      <c r="J166" s="10"/>
      <c r="K166" s="10"/>
      <c r="L166" s="10"/>
      <c r="M166" s="13"/>
      <c r="N166" s="13"/>
      <c r="O166" s="13" t="s">
        <v>420</v>
      </c>
      <c r="P166" s="10" t="s">
        <v>756</v>
      </c>
    </row>
    <row r="167" spans="1:16" x14ac:dyDescent="0.3">
      <c r="A167" s="10" t="s">
        <v>345</v>
      </c>
      <c r="B167" s="10" t="s">
        <v>350</v>
      </c>
      <c r="C167" s="10" t="s">
        <v>487</v>
      </c>
      <c r="D167" s="10" t="s">
        <v>488</v>
      </c>
      <c r="E167" s="10" t="s">
        <v>298</v>
      </c>
      <c r="F167" s="10" t="s">
        <v>416</v>
      </c>
      <c r="G167" s="13" t="s">
        <v>417</v>
      </c>
      <c r="H167" s="13" t="s">
        <v>489</v>
      </c>
      <c r="I167" s="10" t="s">
        <v>490</v>
      </c>
      <c r="J167" s="10"/>
      <c r="K167" s="10"/>
      <c r="L167" s="10"/>
      <c r="M167" s="13"/>
      <c r="N167" s="13"/>
      <c r="O167" s="13" t="s">
        <v>420</v>
      </c>
      <c r="P167" s="10"/>
    </row>
    <row r="168" spans="1:16" x14ac:dyDescent="0.3">
      <c r="A168" s="10" t="s">
        <v>345</v>
      </c>
      <c r="B168" s="10" t="s">
        <v>350</v>
      </c>
      <c r="C168" s="10" t="s">
        <v>588</v>
      </c>
      <c r="D168" s="10" t="s">
        <v>589</v>
      </c>
      <c r="E168" s="10" t="s">
        <v>307</v>
      </c>
      <c r="F168" s="10" t="s">
        <v>416</v>
      </c>
      <c r="G168" s="13" t="s">
        <v>417</v>
      </c>
      <c r="H168" s="13" t="s">
        <v>489</v>
      </c>
      <c r="I168" s="10" t="s">
        <v>590</v>
      </c>
      <c r="J168" s="10"/>
      <c r="K168" s="10"/>
      <c r="L168" s="10"/>
      <c r="M168" s="13"/>
      <c r="N168" s="13"/>
      <c r="O168" s="13" t="s">
        <v>420</v>
      </c>
      <c r="P168" s="10" t="s">
        <v>757</v>
      </c>
    </row>
    <row r="169" spans="1:16" x14ac:dyDescent="0.3">
      <c r="A169" s="10" t="s">
        <v>345</v>
      </c>
      <c r="B169" s="10" t="s">
        <v>350</v>
      </c>
      <c r="C169" s="10" t="s">
        <v>452</v>
      </c>
      <c r="D169" s="10" t="s">
        <v>452</v>
      </c>
      <c r="E169" s="10" t="s">
        <v>758</v>
      </c>
      <c r="F169" s="10" t="s">
        <v>449</v>
      </c>
      <c r="G169" s="13" t="s">
        <v>417</v>
      </c>
      <c r="H169" s="13"/>
      <c r="I169" s="10"/>
      <c r="J169" s="10" t="s">
        <v>540</v>
      </c>
      <c r="K169" s="10"/>
      <c r="L169" s="10"/>
      <c r="M169" s="13"/>
      <c r="N169" s="13"/>
      <c r="O169" s="13" t="s">
        <v>420</v>
      </c>
      <c r="P169" s="10" t="s">
        <v>759</v>
      </c>
    </row>
    <row r="170" spans="1:16" x14ac:dyDescent="0.3">
      <c r="A170" s="10" t="s">
        <v>345</v>
      </c>
      <c r="B170" s="10" t="s">
        <v>350</v>
      </c>
      <c r="C170" s="10" t="s">
        <v>760</v>
      </c>
      <c r="D170" s="10" t="s">
        <v>761</v>
      </c>
      <c r="E170" s="10" t="s">
        <v>423</v>
      </c>
      <c r="F170" s="10" t="s">
        <v>509</v>
      </c>
      <c r="G170" s="13" t="s">
        <v>417</v>
      </c>
      <c r="H170" s="13"/>
      <c r="I170" s="10"/>
      <c r="J170" s="10"/>
      <c r="K170" s="10"/>
      <c r="L170" s="10" t="s">
        <v>510</v>
      </c>
      <c r="M170" s="13" t="s">
        <v>420</v>
      </c>
      <c r="N170" s="13"/>
      <c r="O170" s="13" t="s">
        <v>420</v>
      </c>
      <c r="P170" s="10"/>
    </row>
    <row r="171" spans="1:16" x14ac:dyDescent="0.3">
      <c r="A171" s="10" t="s">
        <v>345</v>
      </c>
      <c r="B171" s="10" t="s">
        <v>350</v>
      </c>
      <c r="C171" s="10" t="s">
        <v>514</v>
      </c>
      <c r="D171" s="10" t="s">
        <v>515</v>
      </c>
      <c r="E171" s="10" t="s">
        <v>423</v>
      </c>
      <c r="F171" s="10" t="s">
        <v>424</v>
      </c>
      <c r="G171" s="13" t="s">
        <v>417</v>
      </c>
      <c r="H171" s="13"/>
      <c r="I171" s="10"/>
      <c r="J171" s="10"/>
      <c r="K171" s="10"/>
      <c r="L171" s="10" t="s">
        <v>516</v>
      </c>
      <c r="M171" s="13" t="s">
        <v>420</v>
      </c>
      <c r="N171" s="13"/>
      <c r="O171" s="13" t="s">
        <v>420</v>
      </c>
      <c r="P171" s="10"/>
    </row>
    <row r="172" spans="1:16" x14ac:dyDescent="0.3">
      <c r="A172" s="10" t="s">
        <v>345</v>
      </c>
      <c r="B172" s="10" t="s">
        <v>350</v>
      </c>
      <c r="C172" s="10" t="s">
        <v>517</v>
      </c>
      <c r="D172" s="10" t="s">
        <v>518</v>
      </c>
      <c r="E172" s="10" t="s">
        <v>423</v>
      </c>
      <c r="F172" s="10" t="s">
        <v>440</v>
      </c>
      <c r="G172" s="13" t="s">
        <v>420</v>
      </c>
      <c r="H172" s="13"/>
      <c r="I172" s="10"/>
      <c r="J172" s="10"/>
      <c r="K172" s="10"/>
      <c r="L172" s="10" t="s">
        <v>519</v>
      </c>
      <c r="M172" s="13" t="s">
        <v>420</v>
      </c>
      <c r="N172" s="13"/>
      <c r="O172" s="13" t="s">
        <v>420</v>
      </c>
      <c r="P172" s="10"/>
    </row>
    <row r="173" spans="1:16" x14ac:dyDescent="0.3">
      <c r="A173" s="10" t="s">
        <v>345</v>
      </c>
      <c r="B173" s="10" t="s">
        <v>350</v>
      </c>
      <c r="C173" s="10" t="s">
        <v>762</v>
      </c>
      <c r="D173" s="10" t="s">
        <v>763</v>
      </c>
      <c r="E173" s="10" t="s">
        <v>423</v>
      </c>
      <c r="F173" s="10" t="s">
        <v>764</v>
      </c>
      <c r="G173" s="13" t="s">
        <v>420</v>
      </c>
      <c r="H173" s="13"/>
      <c r="I173" s="10"/>
      <c r="J173" s="10"/>
      <c r="K173" s="10"/>
      <c r="L173" s="10" t="s">
        <v>765</v>
      </c>
      <c r="M173" s="13" t="s">
        <v>420</v>
      </c>
      <c r="N173" s="13"/>
      <c r="O173" s="13" t="s">
        <v>420</v>
      </c>
      <c r="P173" s="10"/>
    </row>
    <row r="174" spans="1:16" x14ac:dyDescent="0.3">
      <c r="A174" s="10" t="s">
        <v>345</v>
      </c>
      <c r="B174" s="10" t="s">
        <v>350</v>
      </c>
      <c r="C174" s="10" t="s">
        <v>766</v>
      </c>
      <c r="D174" s="10" t="s">
        <v>766</v>
      </c>
      <c r="E174" s="10" t="s">
        <v>546</v>
      </c>
      <c r="F174" s="10" t="s">
        <v>767</v>
      </c>
      <c r="G174" s="13" t="s">
        <v>417</v>
      </c>
      <c r="H174" s="13"/>
      <c r="I174" s="10"/>
      <c r="J174" s="10"/>
      <c r="K174" s="10"/>
      <c r="L174" s="10"/>
      <c r="M174" s="13"/>
      <c r="N174" s="13"/>
      <c r="O174" s="13" t="s">
        <v>420</v>
      </c>
      <c r="P174" s="10" t="s">
        <v>768</v>
      </c>
    </row>
    <row r="175" spans="1:16" x14ac:dyDescent="0.3">
      <c r="A175" s="10" t="s">
        <v>345</v>
      </c>
      <c r="B175" s="10" t="s">
        <v>350</v>
      </c>
      <c r="C175" s="10" t="s">
        <v>769</v>
      </c>
      <c r="D175" s="10" t="s">
        <v>770</v>
      </c>
      <c r="E175" s="10" t="s">
        <v>546</v>
      </c>
      <c r="F175" s="10" t="s">
        <v>767</v>
      </c>
      <c r="G175" s="13" t="s">
        <v>417</v>
      </c>
      <c r="H175" s="13"/>
      <c r="I175" s="10"/>
      <c r="J175" s="10" t="s">
        <v>585</v>
      </c>
      <c r="K175" s="10"/>
      <c r="L175" s="10"/>
      <c r="M175" s="13"/>
      <c r="N175" s="13"/>
      <c r="O175" s="13" t="s">
        <v>420</v>
      </c>
      <c r="P175" s="10"/>
    </row>
    <row r="176" spans="1:16" x14ac:dyDescent="0.3">
      <c r="A176" s="10" t="s">
        <v>345</v>
      </c>
      <c r="B176" s="10" t="s">
        <v>350</v>
      </c>
      <c r="C176" s="10" t="s">
        <v>771</v>
      </c>
      <c r="D176" s="10" t="s">
        <v>772</v>
      </c>
      <c r="E176" s="10" t="s">
        <v>546</v>
      </c>
      <c r="F176" s="10" t="s">
        <v>767</v>
      </c>
      <c r="G176" s="13" t="s">
        <v>417</v>
      </c>
      <c r="H176" s="13"/>
      <c r="I176" s="10"/>
      <c r="J176" s="10"/>
      <c r="K176" s="10" t="s">
        <v>773</v>
      </c>
      <c r="L176" s="10"/>
      <c r="M176" s="13"/>
      <c r="N176" s="13"/>
      <c r="O176" s="13" t="s">
        <v>420</v>
      </c>
      <c r="P176" s="10"/>
    </row>
    <row r="177" spans="1:16" x14ac:dyDescent="0.3">
      <c r="A177" s="10" t="s">
        <v>345</v>
      </c>
      <c r="B177" s="10" t="s">
        <v>350</v>
      </c>
      <c r="C177" s="10" t="s">
        <v>639</v>
      </c>
      <c r="D177" s="10" t="s">
        <v>639</v>
      </c>
      <c r="E177" s="10" t="s">
        <v>423</v>
      </c>
      <c r="F177" s="10" t="s">
        <v>468</v>
      </c>
      <c r="G177" s="13" t="s">
        <v>417</v>
      </c>
      <c r="H177" s="13"/>
      <c r="I177" s="10"/>
      <c r="J177" s="10"/>
      <c r="K177" s="10"/>
      <c r="L177" s="10"/>
      <c r="M177" s="13"/>
      <c r="N177" s="13"/>
      <c r="O177" s="13" t="s">
        <v>420</v>
      </c>
      <c r="P177" s="10"/>
    </row>
    <row r="178" spans="1:16" x14ac:dyDescent="0.3">
      <c r="A178" s="10" t="s">
        <v>345</v>
      </c>
      <c r="B178" s="10" t="s">
        <v>350</v>
      </c>
      <c r="C178" s="10" t="s">
        <v>733</v>
      </c>
      <c r="D178" s="10" t="s">
        <v>734</v>
      </c>
      <c r="E178" s="10" t="s">
        <v>358</v>
      </c>
      <c r="F178" s="10" t="s">
        <v>416</v>
      </c>
      <c r="G178" s="13" t="s">
        <v>420</v>
      </c>
      <c r="H178" s="13" t="s">
        <v>489</v>
      </c>
      <c r="I178" s="10" t="s">
        <v>735</v>
      </c>
      <c r="J178" s="10"/>
      <c r="K178" s="10"/>
      <c r="L178" s="10"/>
      <c r="M178" s="13"/>
      <c r="N178" s="13"/>
      <c r="O178" s="13" t="s">
        <v>420</v>
      </c>
      <c r="P178" s="10" t="s">
        <v>774</v>
      </c>
    </row>
    <row r="179" spans="1:16" x14ac:dyDescent="0.3">
      <c r="A179" s="10" t="s">
        <v>345</v>
      </c>
      <c r="B179" s="10" t="s">
        <v>350</v>
      </c>
      <c r="C179" s="10" t="s">
        <v>775</v>
      </c>
      <c r="D179" s="10" t="s">
        <v>776</v>
      </c>
      <c r="E179" s="10" t="s">
        <v>477</v>
      </c>
      <c r="F179" s="10" t="s">
        <v>478</v>
      </c>
      <c r="G179" s="13" t="s">
        <v>420</v>
      </c>
      <c r="H179" s="13"/>
      <c r="I179" s="10"/>
      <c r="J179" s="10"/>
      <c r="K179" s="10"/>
      <c r="L179" s="10"/>
      <c r="M179" s="13"/>
      <c r="N179" s="13"/>
      <c r="O179" s="13" t="s">
        <v>420</v>
      </c>
      <c r="P179" s="10" t="s">
        <v>777</v>
      </c>
    </row>
    <row r="180" spans="1:16" x14ac:dyDescent="0.3">
      <c r="A180" s="10" t="s">
        <v>345</v>
      </c>
      <c r="B180" s="10" t="s">
        <v>350</v>
      </c>
      <c r="C180" s="10" t="s">
        <v>778</v>
      </c>
      <c r="D180" s="10" t="s">
        <v>779</v>
      </c>
      <c r="E180" s="10" t="s">
        <v>477</v>
      </c>
      <c r="F180" s="10" t="s">
        <v>478</v>
      </c>
      <c r="G180" s="13" t="s">
        <v>420</v>
      </c>
      <c r="H180" s="13"/>
      <c r="I180" s="10"/>
      <c r="J180" s="10"/>
      <c r="K180" s="10"/>
      <c r="L180" s="10"/>
      <c r="M180" s="13"/>
      <c r="N180" s="13"/>
      <c r="O180" s="13" t="s">
        <v>420</v>
      </c>
      <c r="P180" s="10"/>
    </row>
    <row r="181" spans="1:16" x14ac:dyDescent="0.3">
      <c r="A181" s="10" t="s">
        <v>345</v>
      </c>
      <c r="B181" s="10" t="s">
        <v>350</v>
      </c>
      <c r="C181" s="10" t="s">
        <v>780</v>
      </c>
      <c r="D181" s="10" t="s">
        <v>781</v>
      </c>
      <c r="E181" s="10" t="s">
        <v>477</v>
      </c>
      <c r="F181" s="10" t="s">
        <v>478</v>
      </c>
      <c r="G181" s="13" t="s">
        <v>420</v>
      </c>
      <c r="H181" s="13"/>
      <c r="I181" s="10"/>
      <c r="J181" s="10"/>
      <c r="K181" s="10"/>
      <c r="L181" s="10"/>
      <c r="M181" s="13"/>
      <c r="N181" s="13"/>
      <c r="O181" s="13" t="s">
        <v>420</v>
      </c>
      <c r="P181" s="10"/>
    </row>
    <row r="182" spans="1:16" x14ac:dyDescent="0.3">
      <c r="A182" s="10" t="s">
        <v>345</v>
      </c>
      <c r="B182" s="10" t="s">
        <v>350</v>
      </c>
      <c r="C182" s="10" t="s">
        <v>782</v>
      </c>
      <c r="D182" s="10" t="s">
        <v>783</v>
      </c>
      <c r="E182" s="10" t="s">
        <v>784</v>
      </c>
      <c r="F182" s="10" t="s">
        <v>449</v>
      </c>
      <c r="G182" s="13" t="s">
        <v>420</v>
      </c>
      <c r="H182" s="13"/>
      <c r="I182" s="10"/>
      <c r="J182" s="10"/>
      <c r="K182" s="10"/>
      <c r="L182" s="10"/>
      <c r="M182" s="13"/>
      <c r="N182" s="13"/>
      <c r="O182" s="13" t="s">
        <v>420</v>
      </c>
      <c r="P182" s="10"/>
    </row>
    <row r="183" spans="1:16" x14ac:dyDescent="0.3">
      <c r="A183" s="10" t="s">
        <v>345</v>
      </c>
      <c r="B183" s="10" t="s">
        <v>350</v>
      </c>
      <c r="C183" s="10" t="s">
        <v>785</v>
      </c>
      <c r="D183" s="10" t="s">
        <v>786</v>
      </c>
      <c r="E183" s="10" t="s">
        <v>423</v>
      </c>
      <c r="F183" s="10" t="s">
        <v>473</v>
      </c>
      <c r="G183" s="13" t="s">
        <v>420</v>
      </c>
      <c r="H183" s="13"/>
      <c r="I183" s="10"/>
      <c r="J183" s="10"/>
      <c r="K183" s="10"/>
      <c r="L183" s="10"/>
      <c r="M183" s="13"/>
      <c r="N183" s="13"/>
      <c r="O183" s="13" t="s">
        <v>420</v>
      </c>
      <c r="P183" s="10"/>
    </row>
    <row r="184" spans="1:16" x14ac:dyDescent="0.3">
      <c r="A184" s="10" t="s">
        <v>345</v>
      </c>
      <c r="B184" s="10" t="s">
        <v>350</v>
      </c>
      <c r="C184" s="10" t="s">
        <v>787</v>
      </c>
      <c r="D184" s="10" t="s">
        <v>788</v>
      </c>
      <c r="E184" s="10" t="s">
        <v>423</v>
      </c>
      <c r="F184" s="10" t="s">
        <v>434</v>
      </c>
      <c r="G184" s="13" t="s">
        <v>420</v>
      </c>
      <c r="H184" s="13" t="s">
        <v>425</v>
      </c>
      <c r="I184" s="10"/>
      <c r="J184" s="10"/>
      <c r="K184" s="10"/>
      <c r="L184" s="10"/>
      <c r="M184" s="13"/>
      <c r="N184" s="13"/>
      <c r="O184" s="13"/>
      <c r="P184" s="10" t="s">
        <v>789</v>
      </c>
    </row>
    <row r="185" spans="1:16" x14ac:dyDescent="0.3">
      <c r="A185" s="10" t="s">
        <v>345</v>
      </c>
      <c r="B185" s="10" t="s">
        <v>350</v>
      </c>
      <c r="C185" s="10" t="s">
        <v>728</v>
      </c>
      <c r="D185" s="10" t="s">
        <v>728</v>
      </c>
      <c r="E185" s="10" t="s">
        <v>415</v>
      </c>
      <c r="F185" s="10" t="s">
        <v>416</v>
      </c>
      <c r="G185" s="13" t="s">
        <v>417</v>
      </c>
      <c r="H185" s="13"/>
      <c r="I185" s="10"/>
      <c r="J185" s="10" t="s">
        <v>585</v>
      </c>
      <c r="K185" s="10"/>
      <c r="L185" s="10"/>
      <c r="M185" s="13"/>
      <c r="N185" s="13"/>
      <c r="O185" s="13" t="s">
        <v>420</v>
      </c>
      <c r="P185" s="10" t="s">
        <v>790</v>
      </c>
    </row>
    <row r="186" spans="1:16" x14ac:dyDescent="0.3">
      <c r="A186" s="10" t="s">
        <v>345</v>
      </c>
      <c r="B186" s="10" t="s">
        <v>350</v>
      </c>
      <c r="C186" s="10" t="s">
        <v>479</v>
      </c>
      <c r="D186" s="10" t="s">
        <v>480</v>
      </c>
      <c r="E186" s="10" t="s">
        <v>477</v>
      </c>
      <c r="F186" s="10" t="s">
        <v>478</v>
      </c>
      <c r="G186" s="13" t="s">
        <v>417</v>
      </c>
      <c r="H186" s="13"/>
      <c r="I186" s="10"/>
      <c r="J186" s="10" t="s">
        <v>481</v>
      </c>
      <c r="K186" s="10"/>
      <c r="L186" s="10" t="s">
        <v>482</v>
      </c>
      <c r="M186" s="13"/>
      <c r="N186" s="13"/>
      <c r="O186" s="13" t="s">
        <v>420</v>
      </c>
      <c r="P186" s="10" t="s">
        <v>483</v>
      </c>
    </row>
    <row r="187" spans="1:16" x14ac:dyDescent="0.3">
      <c r="A187" s="10" t="s">
        <v>345</v>
      </c>
      <c r="B187" s="10" t="s">
        <v>350</v>
      </c>
      <c r="C187" s="10" t="s">
        <v>484</v>
      </c>
      <c r="D187" s="10" t="s">
        <v>485</v>
      </c>
      <c r="E187" s="10" t="s">
        <v>477</v>
      </c>
      <c r="F187" s="10" t="s">
        <v>478</v>
      </c>
      <c r="G187" s="13" t="s">
        <v>417</v>
      </c>
      <c r="H187" s="13"/>
      <c r="I187" s="10"/>
      <c r="J187" s="10" t="s">
        <v>481</v>
      </c>
      <c r="K187" s="10"/>
      <c r="L187" s="10" t="s">
        <v>482</v>
      </c>
      <c r="M187" s="13"/>
      <c r="N187" s="13"/>
      <c r="O187" s="13" t="s">
        <v>420</v>
      </c>
      <c r="P187" s="10" t="s">
        <v>486</v>
      </c>
    </row>
    <row r="188" spans="1:16" ht="26.4" x14ac:dyDescent="0.3">
      <c r="A188" s="11" t="s">
        <v>352</v>
      </c>
      <c r="B188" s="11" t="s">
        <v>353</v>
      </c>
      <c r="C188" s="11" t="s">
        <v>414</v>
      </c>
      <c r="D188" s="11" t="s">
        <v>414</v>
      </c>
      <c r="E188" s="11" t="s">
        <v>415</v>
      </c>
      <c r="F188" s="11" t="s">
        <v>416</v>
      </c>
      <c r="G188" s="12" t="s">
        <v>417</v>
      </c>
      <c r="H188" s="12" t="s">
        <v>418</v>
      </c>
      <c r="I188" s="11"/>
      <c r="J188" s="11" t="s">
        <v>419</v>
      </c>
      <c r="K188" s="11"/>
      <c r="L188" s="11"/>
      <c r="M188" s="12"/>
      <c r="N188" s="12"/>
      <c r="O188" s="12" t="s">
        <v>420</v>
      </c>
      <c r="P188" s="11" t="s">
        <v>421</v>
      </c>
    </row>
    <row r="189" spans="1:16" x14ac:dyDescent="0.3">
      <c r="A189" s="11" t="s">
        <v>352</v>
      </c>
      <c r="B189" s="11" t="s">
        <v>353</v>
      </c>
      <c r="C189" s="11" t="s">
        <v>791</v>
      </c>
      <c r="D189" s="11" t="s">
        <v>792</v>
      </c>
      <c r="E189" s="11" t="s">
        <v>345</v>
      </c>
      <c r="F189" s="11" t="s">
        <v>416</v>
      </c>
      <c r="G189" s="12" t="s">
        <v>417</v>
      </c>
      <c r="H189" s="12" t="s">
        <v>489</v>
      </c>
      <c r="I189" s="11" t="s">
        <v>793</v>
      </c>
      <c r="J189" s="11"/>
      <c r="K189" s="11"/>
      <c r="L189" s="11"/>
      <c r="M189" s="12"/>
      <c r="N189" s="12"/>
      <c r="O189" s="12" t="s">
        <v>420</v>
      </c>
      <c r="P189" s="11"/>
    </row>
    <row r="190" spans="1:16" x14ac:dyDescent="0.3">
      <c r="A190" s="11" t="s">
        <v>352</v>
      </c>
      <c r="B190" s="11" t="s">
        <v>353</v>
      </c>
      <c r="C190" s="11" t="s">
        <v>665</v>
      </c>
      <c r="D190" s="11" t="s">
        <v>666</v>
      </c>
      <c r="E190" s="11" t="s">
        <v>320</v>
      </c>
      <c r="F190" s="11" t="s">
        <v>416</v>
      </c>
      <c r="G190" s="12" t="s">
        <v>417</v>
      </c>
      <c r="H190" s="12" t="s">
        <v>489</v>
      </c>
      <c r="I190" s="11" t="s">
        <v>668</v>
      </c>
      <c r="J190" s="11"/>
      <c r="K190" s="11"/>
      <c r="L190" s="11"/>
      <c r="M190" s="12"/>
      <c r="N190" s="12"/>
      <c r="O190" s="12" t="s">
        <v>420</v>
      </c>
      <c r="P190" s="11" t="s">
        <v>658</v>
      </c>
    </row>
    <row r="191" spans="1:16" x14ac:dyDescent="0.3">
      <c r="A191" s="11" t="s">
        <v>352</v>
      </c>
      <c r="B191" s="11" t="s">
        <v>353</v>
      </c>
      <c r="C191" s="11" t="s">
        <v>740</v>
      </c>
      <c r="D191" s="11" t="s">
        <v>741</v>
      </c>
      <c r="E191" s="11" t="s">
        <v>338</v>
      </c>
      <c r="F191" s="11" t="s">
        <v>416</v>
      </c>
      <c r="G191" s="12" t="s">
        <v>417</v>
      </c>
      <c r="H191" s="12" t="s">
        <v>489</v>
      </c>
      <c r="I191" s="11" t="s">
        <v>742</v>
      </c>
      <c r="J191" s="11"/>
      <c r="K191" s="11"/>
      <c r="L191" s="11"/>
      <c r="M191" s="12" t="s">
        <v>420</v>
      </c>
      <c r="N191" s="12"/>
      <c r="O191" s="12" t="s">
        <v>420</v>
      </c>
      <c r="P191" s="11"/>
    </row>
    <row r="192" spans="1:16" x14ac:dyDescent="0.3">
      <c r="A192" s="11" t="s">
        <v>352</v>
      </c>
      <c r="B192" s="11" t="s">
        <v>353</v>
      </c>
      <c r="C192" s="11" t="s">
        <v>744</v>
      </c>
      <c r="D192" s="11" t="s">
        <v>745</v>
      </c>
      <c r="E192" s="11" t="s">
        <v>335</v>
      </c>
      <c r="F192" s="11" t="s">
        <v>416</v>
      </c>
      <c r="G192" s="12" t="s">
        <v>417</v>
      </c>
      <c r="H192" s="12" t="s">
        <v>489</v>
      </c>
      <c r="I192" s="11" t="s">
        <v>746</v>
      </c>
      <c r="J192" s="11"/>
      <c r="K192" s="11"/>
      <c r="L192" s="11"/>
      <c r="M192" s="12" t="s">
        <v>420</v>
      </c>
      <c r="N192" s="12"/>
      <c r="O192" s="12" t="s">
        <v>420</v>
      </c>
      <c r="P192" s="11"/>
    </row>
    <row r="193" spans="1:16" x14ac:dyDescent="0.3">
      <c r="A193" s="11" t="s">
        <v>352</v>
      </c>
      <c r="B193" s="11" t="s">
        <v>353</v>
      </c>
      <c r="C193" s="11" t="s">
        <v>794</v>
      </c>
      <c r="D193" s="11" t="s">
        <v>795</v>
      </c>
      <c r="E193" s="11" t="s">
        <v>423</v>
      </c>
      <c r="F193" s="11" t="s">
        <v>509</v>
      </c>
      <c r="G193" s="12" t="s">
        <v>417</v>
      </c>
      <c r="H193" s="12"/>
      <c r="I193" s="11"/>
      <c r="J193" s="11"/>
      <c r="K193" s="11"/>
      <c r="L193" s="11"/>
      <c r="M193" s="12"/>
      <c r="N193" s="12"/>
      <c r="O193" s="12" t="s">
        <v>420</v>
      </c>
      <c r="P193" s="11" t="s">
        <v>796</v>
      </c>
    </row>
    <row r="194" spans="1:16" x14ac:dyDescent="0.3">
      <c r="A194" s="11" t="s">
        <v>352</v>
      </c>
      <c r="B194" s="11" t="s">
        <v>353</v>
      </c>
      <c r="C194" s="11" t="s">
        <v>797</v>
      </c>
      <c r="D194" s="11" t="s">
        <v>798</v>
      </c>
      <c r="E194" s="11" t="s">
        <v>423</v>
      </c>
      <c r="F194" s="11" t="s">
        <v>524</v>
      </c>
      <c r="G194" s="12" t="s">
        <v>417</v>
      </c>
      <c r="H194" s="12"/>
      <c r="I194" s="11"/>
      <c r="J194" s="11"/>
      <c r="K194" s="11"/>
      <c r="L194" s="11"/>
      <c r="M194" s="12"/>
      <c r="N194" s="12"/>
      <c r="O194" s="12" t="s">
        <v>420</v>
      </c>
      <c r="P194" s="11" t="s">
        <v>799</v>
      </c>
    </row>
    <row r="195" spans="1:16" x14ac:dyDescent="0.3">
      <c r="A195" s="11" t="s">
        <v>352</v>
      </c>
      <c r="B195" s="11" t="s">
        <v>353</v>
      </c>
      <c r="C195" s="11" t="s">
        <v>748</v>
      </c>
      <c r="D195" s="11" t="s">
        <v>748</v>
      </c>
      <c r="E195" s="11" t="s">
        <v>583</v>
      </c>
      <c r="F195" s="11" t="s">
        <v>584</v>
      </c>
      <c r="G195" s="12" t="s">
        <v>417</v>
      </c>
      <c r="H195" s="12"/>
      <c r="I195" s="11"/>
      <c r="J195" s="11"/>
      <c r="K195" s="11" t="s">
        <v>749</v>
      </c>
      <c r="L195" s="11" t="s">
        <v>711</v>
      </c>
      <c r="M195" s="12" t="s">
        <v>420</v>
      </c>
      <c r="N195" s="12"/>
      <c r="O195" s="12" t="s">
        <v>420</v>
      </c>
      <c r="P195" s="11"/>
    </row>
    <row r="196" spans="1:16" x14ac:dyDescent="0.3">
      <c r="A196" s="11" t="s">
        <v>352</v>
      </c>
      <c r="B196" s="11" t="s">
        <v>353</v>
      </c>
      <c r="C196" s="11" t="s">
        <v>751</v>
      </c>
      <c r="D196" s="11" t="s">
        <v>752</v>
      </c>
      <c r="E196" s="11" t="s">
        <v>546</v>
      </c>
      <c r="F196" s="11" t="s">
        <v>635</v>
      </c>
      <c r="G196" s="12" t="s">
        <v>417</v>
      </c>
      <c r="H196" s="12"/>
      <c r="I196" s="11"/>
      <c r="J196" s="11"/>
      <c r="K196" s="11"/>
      <c r="L196" s="11"/>
      <c r="M196" s="12"/>
      <c r="N196" s="12"/>
      <c r="O196" s="12" t="s">
        <v>420</v>
      </c>
      <c r="P196" s="11"/>
    </row>
    <row r="197" spans="1:16" x14ac:dyDescent="0.3">
      <c r="A197" s="11" t="s">
        <v>352</v>
      </c>
      <c r="B197" s="11" t="s">
        <v>353</v>
      </c>
      <c r="C197" s="11" t="s">
        <v>800</v>
      </c>
      <c r="D197" s="11" t="s">
        <v>801</v>
      </c>
      <c r="E197" s="11" t="s">
        <v>546</v>
      </c>
      <c r="F197" s="11" t="s">
        <v>767</v>
      </c>
      <c r="G197" s="12" t="s">
        <v>417</v>
      </c>
      <c r="H197" s="12"/>
      <c r="I197" s="11"/>
      <c r="J197" s="11"/>
      <c r="K197" s="11"/>
      <c r="L197" s="11"/>
      <c r="M197" s="12"/>
      <c r="N197" s="12"/>
      <c r="O197" s="12" t="s">
        <v>420</v>
      </c>
      <c r="P197" s="11" t="s">
        <v>802</v>
      </c>
    </row>
    <row r="198" spans="1:16" x14ac:dyDescent="0.3">
      <c r="A198" s="11" t="s">
        <v>352</v>
      </c>
      <c r="B198" s="11" t="s">
        <v>353</v>
      </c>
      <c r="C198" s="11" t="s">
        <v>479</v>
      </c>
      <c r="D198" s="11" t="s">
        <v>480</v>
      </c>
      <c r="E198" s="11" t="s">
        <v>477</v>
      </c>
      <c r="F198" s="11" t="s">
        <v>478</v>
      </c>
      <c r="G198" s="12" t="s">
        <v>417</v>
      </c>
      <c r="H198" s="12"/>
      <c r="I198" s="11"/>
      <c r="J198" s="11" t="s">
        <v>481</v>
      </c>
      <c r="K198" s="11"/>
      <c r="L198" s="11" t="s">
        <v>482</v>
      </c>
      <c r="M198" s="12"/>
      <c r="N198" s="12"/>
      <c r="O198" s="12" t="s">
        <v>420</v>
      </c>
      <c r="P198" s="11" t="s">
        <v>483</v>
      </c>
    </row>
    <row r="199" spans="1:16" ht="26.4" x14ac:dyDescent="0.3">
      <c r="A199" s="10" t="s">
        <v>355</v>
      </c>
      <c r="B199" s="10" t="s">
        <v>356</v>
      </c>
      <c r="C199" s="10" t="s">
        <v>414</v>
      </c>
      <c r="D199" s="10" t="s">
        <v>414</v>
      </c>
      <c r="E199" s="10" t="s">
        <v>415</v>
      </c>
      <c r="F199" s="10" t="s">
        <v>416</v>
      </c>
      <c r="G199" s="13" t="s">
        <v>417</v>
      </c>
      <c r="H199" s="13" t="s">
        <v>418</v>
      </c>
      <c r="I199" s="10"/>
      <c r="J199" s="10" t="s">
        <v>419</v>
      </c>
      <c r="K199" s="10"/>
      <c r="L199" s="10"/>
      <c r="M199" s="13"/>
      <c r="N199" s="13"/>
      <c r="O199" s="13" t="s">
        <v>420</v>
      </c>
      <c r="P199" s="10" t="s">
        <v>421</v>
      </c>
    </row>
    <row r="200" spans="1:16" x14ac:dyDescent="0.3">
      <c r="A200" s="10" t="s">
        <v>355</v>
      </c>
      <c r="B200" s="10" t="s">
        <v>356</v>
      </c>
      <c r="C200" s="10" t="s">
        <v>791</v>
      </c>
      <c r="D200" s="10" t="s">
        <v>792</v>
      </c>
      <c r="E200" s="10" t="s">
        <v>345</v>
      </c>
      <c r="F200" s="10" t="s">
        <v>416</v>
      </c>
      <c r="G200" s="13" t="s">
        <v>417</v>
      </c>
      <c r="H200" s="13" t="s">
        <v>489</v>
      </c>
      <c r="I200" s="10" t="s">
        <v>793</v>
      </c>
      <c r="J200" s="10"/>
      <c r="K200" s="10"/>
      <c r="L200" s="10"/>
      <c r="M200" s="13"/>
      <c r="N200" s="13"/>
      <c r="O200" s="13" t="s">
        <v>420</v>
      </c>
      <c r="P200" s="10"/>
    </row>
    <row r="201" spans="1:16" x14ac:dyDescent="0.3">
      <c r="A201" s="10" t="s">
        <v>355</v>
      </c>
      <c r="B201" s="10" t="s">
        <v>356</v>
      </c>
      <c r="C201" s="10" t="s">
        <v>744</v>
      </c>
      <c r="D201" s="10" t="s">
        <v>745</v>
      </c>
      <c r="E201" s="10" t="s">
        <v>335</v>
      </c>
      <c r="F201" s="10" t="s">
        <v>416</v>
      </c>
      <c r="G201" s="13" t="s">
        <v>420</v>
      </c>
      <c r="H201" s="13" t="s">
        <v>489</v>
      </c>
      <c r="I201" s="10" t="s">
        <v>746</v>
      </c>
      <c r="J201" s="10"/>
      <c r="K201" s="10"/>
      <c r="L201" s="10"/>
      <c r="M201" s="13" t="s">
        <v>420</v>
      </c>
      <c r="N201" s="13" t="s">
        <v>420</v>
      </c>
      <c r="O201" s="13" t="s">
        <v>420</v>
      </c>
      <c r="P201" s="10" t="s">
        <v>803</v>
      </c>
    </row>
    <row r="202" spans="1:16" x14ac:dyDescent="0.3">
      <c r="A202" s="10" t="s">
        <v>355</v>
      </c>
      <c r="B202" s="10" t="s">
        <v>356</v>
      </c>
      <c r="C202" s="10" t="s">
        <v>432</v>
      </c>
      <c r="D202" s="10" t="s">
        <v>433</v>
      </c>
      <c r="E202" s="10" t="s">
        <v>423</v>
      </c>
      <c r="F202" s="10" t="s">
        <v>434</v>
      </c>
      <c r="G202" s="13" t="s">
        <v>417</v>
      </c>
      <c r="H202" s="13"/>
      <c r="I202" s="10"/>
      <c r="J202" s="10"/>
      <c r="K202" s="10"/>
      <c r="L202" s="10" t="s">
        <v>435</v>
      </c>
      <c r="M202" s="13" t="s">
        <v>420</v>
      </c>
      <c r="N202" s="13" t="s">
        <v>420</v>
      </c>
      <c r="O202" s="13" t="s">
        <v>420</v>
      </c>
      <c r="P202" s="10"/>
    </row>
    <row r="203" spans="1:16" x14ac:dyDescent="0.3">
      <c r="A203" s="10" t="s">
        <v>355</v>
      </c>
      <c r="B203" s="10" t="s">
        <v>356</v>
      </c>
      <c r="C203" s="10" t="s">
        <v>436</v>
      </c>
      <c r="D203" s="10" t="s">
        <v>437</v>
      </c>
      <c r="E203" s="10" t="s">
        <v>423</v>
      </c>
      <c r="F203" s="10" t="s">
        <v>434</v>
      </c>
      <c r="G203" s="13" t="s">
        <v>417</v>
      </c>
      <c r="H203" s="13"/>
      <c r="I203" s="10"/>
      <c r="J203" s="10"/>
      <c r="K203" s="10"/>
      <c r="L203" s="10" t="s">
        <v>435</v>
      </c>
      <c r="M203" s="13" t="s">
        <v>420</v>
      </c>
      <c r="N203" s="13" t="s">
        <v>420</v>
      </c>
      <c r="O203" s="13" t="s">
        <v>420</v>
      </c>
      <c r="P203" s="10"/>
    </row>
    <row r="204" spans="1:16" x14ac:dyDescent="0.3">
      <c r="A204" s="10" t="s">
        <v>355</v>
      </c>
      <c r="B204" s="10" t="s">
        <v>356</v>
      </c>
      <c r="C204" s="10" t="s">
        <v>422</v>
      </c>
      <c r="D204" s="10" t="s">
        <v>422</v>
      </c>
      <c r="E204" s="10" t="s">
        <v>423</v>
      </c>
      <c r="F204" s="10" t="s">
        <v>424</v>
      </c>
      <c r="G204" s="13" t="s">
        <v>420</v>
      </c>
      <c r="H204" s="13"/>
      <c r="I204" s="10"/>
      <c r="J204" s="10"/>
      <c r="K204" s="10"/>
      <c r="L204" s="10" t="s">
        <v>804</v>
      </c>
      <c r="M204" s="13" t="s">
        <v>420</v>
      </c>
      <c r="N204" s="13" t="s">
        <v>420</v>
      </c>
      <c r="O204" s="13" t="s">
        <v>420</v>
      </c>
      <c r="P204" s="10"/>
    </row>
    <row r="205" spans="1:16" x14ac:dyDescent="0.3">
      <c r="A205" s="10" t="s">
        <v>355</v>
      </c>
      <c r="B205" s="10" t="s">
        <v>356</v>
      </c>
      <c r="C205" s="10" t="s">
        <v>442</v>
      </c>
      <c r="D205" s="10" t="s">
        <v>443</v>
      </c>
      <c r="E205" s="10" t="s">
        <v>444</v>
      </c>
      <c r="F205" s="10" t="s">
        <v>445</v>
      </c>
      <c r="G205" s="13" t="s">
        <v>420</v>
      </c>
      <c r="H205" s="13"/>
      <c r="I205" s="10"/>
      <c r="J205" s="10"/>
      <c r="K205" s="10"/>
      <c r="L205" s="10" t="s">
        <v>446</v>
      </c>
      <c r="M205" s="13" t="s">
        <v>420</v>
      </c>
      <c r="N205" s="13" t="s">
        <v>420</v>
      </c>
      <c r="O205" s="13" t="s">
        <v>420</v>
      </c>
      <c r="P205" s="10"/>
    </row>
    <row r="206" spans="1:16" x14ac:dyDescent="0.3">
      <c r="A206" s="10" t="s">
        <v>355</v>
      </c>
      <c r="B206" s="10" t="s">
        <v>356</v>
      </c>
      <c r="C206" s="10" t="s">
        <v>805</v>
      </c>
      <c r="D206" s="10" t="s">
        <v>805</v>
      </c>
      <c r="E206" s="10" t="s">
        <v>423</v>
      </c>
      <c r="F206" s="10" t="s">
        <v>534</v>
      </c>
      <c r="G206" s="13" t="s">
        <v>420</v>
      </c>
      <c r="H206" s="13"/>
      <c r="I206" s="10"/>
      <c r="J206" s="10"/>
      <c r="K206" s="10"/>
      <c r="L206" s="10" t="s">
        <v>806</v>
      </c>
      <c r="M206" s="13" t="s">
        <v>420</v>
      </c>
      <c r="N206" s="13" t="s">
        <v>420</v>
      </c>
      <c r="O206" s="13" t="s">
        <v>420</v>
      </c>
      <c r="P206" s="10"/>
    </row>
    <row r="207" spans="1:16" x14ac:dyDescent="0.3">
      <c r="A207" s="10" t="s">
        <v>355</v>
      </c>
      <c r="B207" s="10" t="s">
        <v>356</v>
      </c>
      <c r="C207" s="10" t="s">
        <v>807</v>
      </c>
      <c r="D207" s="10" t="s">
        <v>808</v>
      </c>
      <c r="E207" s="10" t="s">
        <v>423</v>
      </c>
      <c r="F207" s="10" t="s">
        <v>503</v>
      </c>
      <c r="G207" s="13" t="s">
        <v>420</v>
      </c>
      <c r="H207" s="13"/>
      <c r="I207" s="10"/>
      <c r="J207" s="10"/>
      <c r="K207" s="10"/>
      <c r="L207" s="10" t="s">
        <v>809</v>
      </c>
      <c r="M207" s="13" t="s">
        <v>420</v>
      </c>
      <c r="N207" s="13" t="s">
        <v>420</v>
      </c>
      <c r="O207" s="13" t="s">
        <v>420</v>
      </c>
      <c r="P207" s="10"/>
    </row>
    <row r="208" spans="1:16" x14ac:dyDescent="0.3">
      <c r="A208" s="10" t="s">
        <v>355</v>
      </c>
      <c r="B208" s="10" t="s">
        <v>356</v>
      </c>
      <c r="C208" s="10" t="s">
        <v>810</v>
      </c>
      <c r="D208" s="10" t="s">
        <v>811</v>
      </c>
      <c r="E208" s="10" t="s">
        <v>458</v>
      </c>
      <c r="F208" s="10" t="s">
        <v>459</v>
      </c>
      <c r="G208" s="13" t="s">
        <v>417</v>
      </c>
      <c r="H208" s="13"/>
      <c r="I208" s="10"/>
      <c r="J208" s="10" t="s">
        <v>460</v>
      </c>
      <c r="K208" s="10"/>
      <c r="L208" s="10"/>
      <c r="M208" s="13" t="s">
        <v>420</v>
      </c>
      <c r="N208" s="13" t="s">
        <v>420</v>
      </c>
      <c r="O208" s="13" t="s">
        <v>420</v>
      </c>
      <c r="P208" s="10"/>
    </row>
    <row r="209" spans="1:16" x14ac:dyDescent="0.3">
      <c r="A209" s="10" t="s">
        <v>355</v>
      </c>
      <c r="B209" s="10" t="s">
        <v>356</v>
      </c>
      <c r="C209" s="10" t="s">
        <v>479</v>
      </c>
      <c r="D209" s="10" t="s">
        <v>480</v>
      </c>
      <c r="E209" s="10" t="s">
        <v>477</v>
      </c>
      <c r="F209" s="10" t="s">
        <v>478</v>
      </c>
      <c r="G209" s="13" t="s">
        <v>417</v>
      </c>
      <c r="H209" s="13"/>
      <c r="I209" s="10"/>
      <c r="J209" s="10" t="s">
        <v>481</v>
      </c>
      <c r="K209" s="10"/>
      <c r="L209" s="10" t="s">
        <v>482</v>
      </c>
      <c r="M209" s="13"/>
      <c r="N209" s="13"/>
      <c r="O209" s="13" t="s">
        <v>420</v>
      </c>
      <c r="P209" s="10" t="s">
        <v>483</v>
      </c>
    </row>
    <row r="210" spans="1:16" x14ac:dyDescent="0.3">
      <c r="A210" s="10" t="s">
        <v>355</v>
      </c>
      <c r="B210" s="10" t="s">
        <v>356</v>
      </c>
      <c r="C210" s="10" t="s">
        <v>484</v>
      </c>
      <c r="D210" s="10" t="s">
        <v>485</v>
      </c>
      <c r="E210" s="10" t="s">
        <v>477</v>
      </c>
      <c r="F210" s="10" t="s">
        <v>478</v>
      </c>
      <c r="G210" s="13" t="s">
        <v>417</v>
      </c>
      <c r="H210" s="13"/>
      <c r="I210" s="10"/>
      <c r="J210" s="10" t="s">
        <v>481</v>
      </c>
      <c r="K210" s="10"/>
      <c r="L210" s="10" t="s">
        <v>482</v>
      </c>
      <c r="M210" s="13"/>
      <c r="N210" s="13"/>
      <c r="O210" s="13" t="s">
        <v>420</v>
      </c>
      <c r="P210" s="10" t="s">
        <v>486</v>
      </c>
    </row>
    <row r="211" spans="1:16" ht="26.4" x14ac:dyDescent="0.3">
      <c r="A211" s="11" t="s">
        <v>358</v>
      </c>
      <c r="B211" s="11" t="s">
        <v>359</v>
      </c>
      <c r="C211" s="11" t="s">
        <v>414</v>
      </c>
      <c r="D211" s="11" t="s">
        <v>414</v>
      </c>
      <c r="E211" s="11" t="s">
        <v>415</v>
      </c>
      <c r="F211" s="11" t="s">
        <v>416</v>
      </c>
      <c r="G211" s="12" t="s">
        <v>417</v>
      </c>
      <c r="H211" s="12" t="s">
        <v>418</v>
      </c>
      <c r="I211" s="11"/>
      <c r="J211" s="11" t="s">
        <v>419</v>
      </c>
      <c r="K211" s="11"/>
      <c r="L211" s="11"/>
      <c r="M211" s="12"/>
      <c r="N211" s="12"/>
      <c r="O211" s="12" t="s">
        <v>420</v>
      </c>
      <c r="P211" s="11" t="s">
        <v>421</v>
      </c>
    </row>
    <row r="212" spans="1:16" x14ac:dyDescent="0.3">
      <c r="A212" s="11" t="s">
        <v>358</v>
      </c>
      <c r="B212" s="11" t="s">
        <v>359</v>
      </c>
      <c r="C212" s="11" t="s">
        <v>812</v>
      </c>
      <c r="D212" s="11" t="s">
        <v>812</v>
      </c>
      <c r="E212" s="11" t="s">
        <v>423</v>
      </c>
      <c r="F212" s="11" t="s">
        <v>449</v>
      </c>
      <c r="G212" s="12" t="s">
        <v>417</v>
      </c>
      <c r="H212" s="12" t="s">
        <v>425</v>
      </c>
      <c r="I212" s="11"/>
      <c r="J212" s="11"/>
      <c r="K212" s="11"/>
      <c r="L212" s="11" t="s">
        <v>813</v>
      </c>
      <c r="M212" s="12" t="s">
        <v>420</v>
      </c>
      <c r="N212" s="12"/>
      <c r="O212" s="12" t="s">
        <v>420</v>
      </c>
      <c r="P212" s="11" t="s">
        <v>814</v>
      </c>
    </row>
    <row r="213" spans="1:16" x14ac:dyDescent="0.3">
      <c r="A213" s="11" t="s">
        <v>358</v>
      </c>
      <c r="B213" s="11" t="s">
        <v>359</v>
      </c>
      <c r="C213" s="11" t="s">
        <v>511</v>
      </c>
      <c r="D213" s="11" t="s">
        <v>511</v>
      </c>
      <c r="E213" s="11" t="s">
        <v>423</v>
      </c>
      <c r="F213" s="11" t="s">
        <v>503</v>
      </c>
      <c r="G213" s="12" t="s">
        <v>420</v>
      </c>
      <c r="H213" s="12"/>
      <c r="I213" s="11"/>
      <c r="J213" s="11"/>
      <c r="K213" s="11"/>
      <c r="L213" s="11"/>
      <c r="M213" s="12" t="s">
        <v>420</v>
      </c>
      <c r="N213" s="12" t="s">
        <v>420</v>
      </c>
      <c r="O213" s="12" t="s">
        <v>420</v>
      </c>
      <c r="P213" s="11"/>
    </row>
    <row r="214" spans="1:16" x14ac:dyDescent="0.3">
      <c r="A214" s="11" t="s">
        <v>358</v>
      </c>
      <c r="B214" s="11" t="s">
        <v>359</v>
      </c>
      <c r="C214" s="11" t="s">
        <v>815</v>
      </c>
      <c r="D214" s="11" t="s">
        <v>816</v>
      </c>
      <c r="E214" s="11" t="s">
        <v>817</v>
      </c>
      <c r="F214" s="11" t="s">
        <v>449</v>
      </c>
      <c r="G214" s="12" t="s">
        <v>417</v>
      </c>
      <c r="H214" s="12"/>
      <c r="I214" s="11"/>
      <c r="J214" s="11"/>
      <c r="K214" s="11"/>
      <c r="L214" s="11"/>
      <c r="M214" s="12" t="s">
        <v>420</v>
      </c>
      <c r="N214" s="12" t="s">
        <v>420</v>
      </c>
      <c r="O214" s="12" t="s">
        <v>420</v>
      </c>
      <c r="P214" s="11"/>
    </row>
    <row r="215" spans="1:16" ht="26.4" x14ac:dyDescent="0.3">
      <c r="A215" s="11" t="s">
        <v>358</v>
      </c>
      <c r="B215" s="11" t="s">
        <v>359</v>
      </c>
      <c r="C215" s="11" t="s">
        <v>818</v>
      </c>
      <c r="D215" s="11" t="s">
        <v>819</v>
      </c>
      <c r="E215" s="11" t="s">
        <v>546</v>
      </c>
      <c r="F215" s="11" t="s">
        <v>635</v>
      </c>
      <c r="G215" s="12" t="s">
        <v>417</v>
      </c>
      <c r="H215" s="12"/>
      <c r="I215" s="11"/>
      <c r="J215" s="11"/>
      <c r="K215" s="11" t="s">
        <v>820</v>
      </c>
      <c r="L215" s="11" t="s">
        <v>821</v>
      </c>
      <c r="M215" s="12" t="s">
        <v>420</v>
      </c>
      <c r="N215" s="12" t="s">
        <v>420</v>
      </c>
      <c r="O215" s="12" t="s">
        <v>420</v>
      </c>
      <c r="P215" s="11"/>
    </row>
    <row r="216" spans="1:16" x14ac:dyDescent="0.3">
      <c r="A216" s="11" t="s">
        <v>358</v>
      </c>
      <c r="B216" s="11" t="s">
        <v>359</v>
      </c>
      <c r="C216" s="11" t="s">
        <v>822</v>
      </c>
      <c r="D216" s="11" t="s">
        <v>823</v>
      </c>
      <c r="E216" s="11" t="s">
        <v>546</v>
      </c>
      <c r="F216" s="11" t="s">
        <v>635</v>
      </c>
      <c r="G216" s="12" t="s">
        <v>420</v>
      </c>
      <c r="H216" s="12"/>
      <c r="I216" s="11"/>
      <c r="J216" s="11"/>
      <c r="K216" s="11"/>
      <c r="L216" s="11" t="s">
        <v>629</v>
      </c>
      <c r="M216" s="12" t="s">
        <v>420</v>
      </c>
      <c r="N216" s="12" t="s">
        <v>420</v>
      </c>
      <c r="O216" s="12" t="s">
        <v>420</v>
      </c>
      <c r="P216" s="11" t="s">
        <v>824</v>
      </c>
    </row>
    <row r="217" spans="1:16" x14ac:dyDescent="0.3">
      <c r="A217" s="11" t="s">
        <v>358</v>
      </c>
      <c r="B217" s="11" t="s">
        <v>359</v>
      </c>
      <c r="C217" s="11" t="s">
        <v>825</v>
      </c>
      <c r="D217" s="11" t="s">
        <v>826</v>
      </c>
      <c r="E217" s="11" t="s">
        <v>546</v>
      </c>
      <c r="F217" s="11" t="s">
        <v>635</v>
      </c>
      <c r="G217" s="12" t="s">
        <v>417</v>
      </c>
      <c r="H217" s="12"/>
      <c r="I217" s="11"/>
      <c r="J217" s="11" t="s">
        <v>585</v>
      </c>
      <c r="K217" s="11"/>
      <c r="L217" s="11" t="s">
        <v>632</v>
      </c>
      <c r="M217" s="12" t="s">
        <v>420</v>
      </c>
      <c r="N217" s="12" t="s">
        <v>420</v>
      </c>
      <c r="O217" s="12" t="s">
        <v>420</v>
      </c>
      <c r="P217" s="11"/>
    </row>
    <row r="218" spans="1:16" x14ac:dyDescent="0.3">
      <c r="A218" s="11" t="s">
        <v>358</v>
      </c>
      <c r="B218" s="11" t="s">
        <v>359</v>
      </c>
      <c r="C218" s="11" t="s">
        <v>827</v>
      </c>
      <c r="D218" s="11" t="s">
        <v>828</v>
      </c>
      <c r="E218" s="11" t="s">
        <v>477</v>
      </c>
      <c r="F218" s="11" t="s">
        <v>478</v>
      </c>
      <c r="G218" s="12" t="s">
        <v>417</v>
      </c>
      <c r="H218" s="12"/>
      <c r="I218" s="11"/>
      <c r="J218" s="11"/>
      <c r="K218" s="11"/>
      <c r="L218" s="11" t="s">
        <v>703</v>
      </c>
      <c r="M218" s="12" t="s">
        <v>420</v>
      </c>
      <c r="N218" s="12" t="s">
        <v>420</v>
      </c>
      <c r="O218" s="12" t="s">
        <v>420</v>
      </c>
      <c r="P218" s="11"/>
    </row>
    <row r="219" spans="1:16" x14ac:dyDescent="0.3">
      <c r="A219" s="11" t="s">
        <v>358</v>
      </c>
      <c r="B219" s="11" t="s">
        <v>359</v>
      </c>
      <c r="C219" s="11" t="s">
        <v>829</v>
      </c>
      <c r="D219" s="11" t="s">
        <v>830</v>
      </c>
      <c r="E219" s="11" t="s">
        <v>477</v>
      </c>
      <c r="F219" s="11" t="s">
        <v>478</v>
      </c>
      <c r="G219" s="12" t="s">
        <v>417</v>
      </c>
      <c r="H219" s="12"/>
      <c r="I219" s="11"/>
      <c r="J219" s="11"/>
      <c r="K219" s="11" t="s">
        <v>831</v>
      </c>
      <c r="L219" s="11" t="s">
        <v>832</v>
      </c>
      <c r="M219" s="12" t="s">
        <v>420</v>
      </c>
      <c r="N219" s="12" t="s">
        <v>420</v>
      </c>
      <c r="O219" s="12" t="s">
        <v>420</v>
      </c>
      <c r="P219" s="11"/>
    </row>
    <row r="220" spans="1:16" x14ac:dyDescent="0.3">
      <c r="A220" s="11" t="s">
        <v>358</v>
      </c>
      <c r="B220" s="11" t="s">
        <v>359</v>
      </c>
      <c r="C220" s="11" t="s">
        <v>833</v>
      </c>
      <c r="D220" s="11" t="s">
        <v>834</v>
      </c>
      <c r="E220" s="11" t="s">
        <v>583</v>
      </c>
      <c r="F220" s="11" t="s">
        <v>584</v>
      </c>
      <c r="G220" s="12" t="s">
        <v>420</v>
      </c>
      <c r="H220" s="12"/>
      <c r="I220" s="11"/>
      <c r="J220" s="11"/>
      <c r="K220" s="11"/>
      <c r="L220" s="11" t="s">
        <v>629</v>
      </c>
      <c r="M220" s="12" t="s">
        <v>420</v>
      </c>
      <c r="N220" s="12" t="s">
        <v>420</v>
      </c>
      <c r="O220" s="12" t="s">
        <v>420</v>
      </c>
      <c r="P220" s="11" t="s">
        <v>835</v>
      </c>
    </row>
    <row r="221" spans="1:16" x14ac:dyDescent="0.3">
      <c r="A221" s="11" t="s">
        <v>358</v>
      </c>
      <c r="B221" s="11" t="s">
        <v>359</v>
      </c>
      <c r="C221" s="11" t="s">
        <v>836</v>
      </c>
      <c r="D221" s="11" t="s">
        <v>837</v>
      </c>
      <c r="E221" s="11" t="s">
        <v>583</v>
      </c>
      <c r="F221" s="11" t="s">
        <v>584</v>
      </c>
      <c r="G221" s="12" t="s">
        <v>417</v>
      </c>
      <c r="H221" s="12"/>
      <c r="I221" s="11"/>
      <c r="J221" s="11" t="s">
        <v>585</v>
      </c>
      <c r="K221" s="11"/>
      <c r="L221" s="11"/>
      <c r="M221" s="12"/>
      <c r="N221" s="12"/>
      <c r="O221" s="12" t="s">
        <v>420</v>
      </c>
      <c r="P221" s="11"/>
    </row>
    <row r="222" spans="1:16" x14ac:dyDescent="0.3">
      <c r="A222" s="11" t="s">
        <v>358</v>
      </c>
      <c r="B222" s="11" t="s">
        <v>359</v>
      </c>
      <c r="C222" s="11" t="s">
        <v>838</v>
      </c>
      <c r="D222" s="11" t="s">
        <v>839</v>
      </c>
      <c r="E222" s="11" t="s">
        <v>583</v>
      </c>
      <c r="F222" s="11" t="s">
        <v>584</v>
      </c>
      <c r="G222" s="12" t="s">
        <v>417</v>
      </c>
      <c r="H222" s="12"/>
      <c r="I222" s="11"/>
      <c r="J222" s="11" t="s">
        <v>624</v>
      </c>
      <c r="K222" s="11"/>
      <c r="L222" s="11" t="s">
        <v>626</v>
      </c>
      <c r="M222" s="12" t="s">
        <v>420</v>
      </c>
      <c r="N222" s="12" t="s">
        <v>420</v>
      </c>
      <c r="O222" s="12" t="s">
        <v>420</v>
      </c>
      <c r="P222" s="11"/>
    </row>
    <row r="223" spans="1:16" x14ac:dyDescent="0.3">
      <c r="A223" s="11" t="s">
        <v>358</v>
      </c>
      <c r="B223" s="11" t="s">
        <v>359</v>
      </c>
      <c r="C223" s="11" t="s">
        <v>572</v>
      </c>
      <c r="D223" s="11" t="s">
        <v>572</v>
      </c>
      <c r="E223" s="11" t="s">
        <v>458</v>
      </c>
      <c r="F223" s="11" t="s">
        <v>459</v>
      </c>
      <c r="G223" s="12" t="s">
        <v>417</v>
      </c>
      <c r="H223" s="12"/>
      <c r="I223" s="11"/>
      <c r="J223" s="11" t="s">
        <v>573</v>
      </c>
      <c r="K223" s="11"/>
      <c r="L223" s="11"/>
      <c r="M223" s="12" t="s">
        <v>420</v>
      </c>
      <c r="N223" s="12" t="s">
        <v>420</v>
      </c>
      <c r="O223" s="12" t="s">
        <v>420</v>
      </c>
      <c r="P223" s="11"/>
    </row>
    <row r="224" spans="1:16" x14ac:dyDescent="0.3">
      <c r="A224" s="11" t="s">
        <v>358</v>
      </c>
      <c r="B224" s="11" t="s">
        <v>359</v>
      </c>
      <c r="C224" s="11" t="s">
        <v>479</v>
      </c>
      <c r="D224" s="11" t="s">
        <v>480</v>
      </c>
      <c r="E224" s="11" t="s">
        <v>477</v>
      </c>
      <c r="F224" s="11" t="s">
        <v>478</v>
      </c>
      <c r="G224" s="12" t="s">
        <v>417</v>
      </c>
      <c r="H224" s="12"/>
      <c r="I224" s="11"/>
      <c r="J224" s="11" t="s">
        <v>481</v>
      </c>
      <c r="K224" s="11"/>
      <c r="L224" s="11" t="s">
        <v>482</v>
      </c>
      <c r="M224" s="12"/>
      <c r="N224" s="12"/>
      <c r="O224" s="12" t="s">
        <v>420</v>
      </c>
      <c r="P224" s="11" t="s">
        <v>483</v>
      </c>
    </row>
    <row r="225" spans="1:16" x14ac:dyDescent="0.3">
      <c r="A225" s="11" t="s">
        <v>358</v>
      </c>
      <c r="B225" s="11" t="s">
        <v>359</v>
      </c>
      <c r="C225" s="11" t="s">
        <v>484</v>
      </c>
      <c r="D225" s="11" t="s">
        <v>485</v>
      </c>
      <c r="E225" s="11" t="s">
        <v>477</v>
      </c>
      <c r="F225" s="11" t="s">
        <v>478</v>
      </c>
      <c r="G225" s="12" t="s">
        <v>417</v>
      </c>
      <c r="H225" s="12"/>
      <c r="I225" s="11"/>
      <c r="J225" s="11" t="s">
        <v>481</v>
      </c>
      <c r="K225" s="11"/>
      <c r="L225" s="11" t="s">
        <v>482</v>
      </c>
      <c r="M225" s="12"/>
      <c r="N225" s="12"/>
      <c r="O225" s="12" t="s">
        <v>420</v>
      </c>
      <c r="P225" s="11" t="s">
        <v>486</v>
      </c>
    </row>
    <row r="226" spans="1:16" ht="26.4" x14ac:dyDescent="0.3">
      <c r="A226" s="10" t="s">
        <v>361</v>
      </c>
      <c r="B226" s="10" t="s">
        <v>362</v>
      </c>
      <c r="C226" s="10" t="s">
        <v>414</v>
      </c>
      <c r="D226" s="10" t="s">
        <v>414</v>
      </c>
      <c r="E226" s="10" t="s">
        <v>415</v>
      </c>
      <c r="F226" s="10" t="s">
        <v>416</v>
      </c>
      <c r="G226" s="13" t="s">
        <v>417</v>
      </c>
      <c r="H226" s="13" t="s">
        <v>418</v>
      </c>
      <c r="I226" s="10"/>
      <c r="J226" s="10" t="s">
        <v>419</v>
      </c>
      <c r="K226" s="10"/>
      <c r="L226" s="10"/>
      <c r="M226" s="13"/>
      <c r="N226" s="13"/>
      <c r="O226" s="13" t="s">
        <v>420</v>
      </c>
      <c r="P226" s="10" t="s">
        <v>421</v>
      </c>
    </row>
    <row r="227" spans="1:16" x14ac:dyDescent="0.3">
      <c r="A227" s="10" t="s">
        <v>361</v>
      </c>
      <c r="B227" s="10" t="s">
        <v>362</v>
      </c>
      <c r="C227" s="10" t="s">
        <v>733</v>
      </c>
      <c r="D227" s="10" t="s">
        <v>734</v>
      </c>
      <c r="E227" s="10" t="s">
        <v>358</v>
      </c>
      <c r="F227" s="10" t="s">
        <v>416</v>
      </c>
      <c r="G227" s="13" t="s">
        <v>417</v>
      </c>
      <c r="H227" s="13" t="s">
        <v>489</v>
      </c>
      <c r="I227" s="10" t="s">
        <v>735</v>
      </c>
      <c r="J227" s="10"/>
      <c r="K227" s="10"/>
      <c r="L227" s="10"/>
      <c r="M227" s="13"/>
      <c r="N227" s="13"/>
      <c r="O227" s="13" t="s">
        <v>420</v>
      </c>
      <c r="P227" s="10"/>
    </row>
    <row r="228" spans="1:16" x14ac:dyDescent="0.3">
      <c r="A228" s="10" t="s">
        <v>361</v>
      </c>
      <c r="B228" s="10" t="s">
        <v>362</v>
      </c>
      <c r="C228" s="10" t="s">
        <v>487</v>
      </c>
      <c r="D228" s="10" t="s">
        <v>488</v>
      </c>
      <c r="E228" s="10" t="s">
        <v>298</v>
      </c>
      <c r="F228" s="10" t="s">
        <v>416</v>
      </c>
      <c r="G228" s="13" t="s">
        <v>417</v>
      </c>
      <c r="H228" s="13" t="s">
        <v>489</v>
      </c>
      <c r="I228" s="10" t="s">
        <v>490</v>
      </c>
      <c r="J228" s="10"/>
      <c r="K228" s="10"/>
      <c r="L228" s="10"/>
      <c r="M228" s="13"/>
      <c r="N228" s="13"/>
      <c r="O228" s="13" t="s">
        <v>420</v>
      </c>
      <c r="P228" s="10"/>
    </row>
    <row r="229" spans="1:16" x14ac:dyDescent="0.3">
      <c r="A229" s="10" t="s">
        <v>361</v>
      </c>
      <c r="B229" s="10" t="s">
        <v>362</v>
      </c>
      <c r="C229" s="10" t="s">
        <v>791</v>
      </c>
      <c r="D229" s="10" t="s">
        <v>792</v>
      </c>
      <c r="E229" s="10" t="s">
        <v>345</v>
      </c>
      <c r="F229" s="10" t="s">
        <v>416</v>
      </c>
      <c r="G229" s="13" t="s">
        <v>417</v>
      </c>
      <c r="H229" s="13" t="s">
        <v>489</v>
      </c>
      <c r="I229" s="10" t="s">
        <v>793</v>
      </c>
      <c r="J229" s="10"/>
      <c r="K229" s="10"/>
      <c r="L229" s="10"/>
      <c r="M229" s="13"/>
      <c r="N229" s="13"/>
      <c r="O229" s="13" t="s">
        <v>420</v>
      </c>
      <c r="P229" s="10"/>
    </row>
    <row r="230" spans="1:16" x14ac:dyDescent="0.3">
      <c r="A230" s="10" t="s">
        <v>361</v>
      </c>
      <c r="B230" s="10" t="s">
        <v>362</v>
      </c>
      <c r="C230" s="10" t="s">
        <v>769</v>
      </c>
      <c r="D230" s="10" t="s">
        <v>770</v>
      </c>
      <c r="E230" s="10" t="s">
        <v>546</v>
      </c>
      <c r="F230" s="10" t="s">
        <v>635</v>
      </c>
      <c r="G230" s="13" t="s">
        <v>417</v>
      </c>
      <c r="H230" s="13"/>
      <c r="I230" s="10"/>
      <c r="J230" s="10"/>
      <c r="K230" s="10"/>
      <c r="L230" s="10"/>
      <c r="M230" s="13"/>
      <c r="N230" s="13"/>
      <c r="O230" s="13" t="s">
        <v>420</v>
      </c>
      <c r="P230" s="10"/>
    </row>
    <row r="231" spans="1:16" x14ac:dyDescent="0.3">
      <c r="A231" s="10" t="s">
        <v>361</v>
      </c>
      <c r="B231" s="10" t="s">
        <v>362</v>
      </c>
      <c r="C231" s="10" t="s">
        <v>840</v>
      </c>
      <c r="D231" s="10" t="s">
        <v>841</v>
      </c>
      <c r="E231" s="10" t="s">
        <v>477</v>
      </c>
      <c r="F231" s="10" t="s">
        <v>478</v>
      </c>
      <c r="G231" s="13" t="s">
        <v>417</v>
      </c>
      <c r="H231" s="13"/>
      <c r="I231" s="10"/>
      <c r="J231" s="10" t="s">
        <v>481</v>
      </c>
      <c r="K231" s="10"/>
      <c r="L231" s="10"/>
      <c r="M231" s="13"/>
      <c r="N231" s="13"/>
      <c r="O231" s="13" t="s">
        <v>420</v>
      </c>
      <c r="P231" s="10"/>
    </row>
    <row r="232" spans="1:16" ht="26.4" x14ac:dyDescent="0.3">
      <c r="A232" s="11" t="s">
        <v>364</v>
      </c>
      <c r="B232" s="11" t="s">
        <v>365</v>
      </c>
      <c r="C232" s="11" t="s">
        <v>414</v>
      </c>
      <c r="D232" s="11" t="s">
        <v>414</v>
      </c>
      <c r="E232" s="11" t="s">
        <v>415</v>
      </c>
      <c r="F232" s="11" t="s">
        <v>416</v>
      </c>
      <c r="G232" s="12" t="s">
        <v>417</v>
      </c>
      <c r="H232" s="12" t="s">
        <v>418</v>
      </c>
      <c r="I232" s="11"/>
      <c r="J232" s="11" t="s">
        <v>419</v>
      </c>
      <c r="K232" s="11"/>
      <c r="L232" s="11"/>
      <c r="M232" s="12"/>
      <c r="N232" s="12"/>
      <c r="O232" s="12" t="s">
        <v>420</v>
      </c>
      <c r="P232" s="11" t="s">
        <v>421</v>
      </c>
    </row>
    <row r="233" spans="1:16" x14ac:dyDescent="0.3">
      <c r="A233" s="11" t="s">
        <v>364</v>
      </c>
      <c r="B233" s="11" t="s">
        <v>365</v>
      </c>
      <c r="C233" s="11" t="s">
        <v>791</v>
      </c>
      <c r="D233" s="11" t="s">
        <v>792</v>
      </c>
      <c r="E233" s="11" t="s">
        <v>345</v>
      </c>
      <c r="F233" s="11" t="s">
        <v>416</v>
      </c>
      <c r="G233" s="12" t="s">
        <v>417</v>
      </c>
      <c r="H233" s="12" t="s">
        <v>489</v>
      </c>
      <c r="I233" s="11" t="s">
        <v>793</v>
      </c>
      <c r="J233" s="11"/>
      <c r="K233" s="11"/>
      <c r="L233" s="11"/>
      <c r="M233" s="12"/>
      <c r="N233" s="12"/>
      <c r="O233" s="12" t="s">
        <v>420</v>
      </c>
      <c r="P233" s="11"/>
    </row>
    <row r="234" spans="1:16" x14ac:dyDescent="0.3">
      <c r="A234" s="11" t="s">
        <v>364</v>
      </c>
      <c r="B234" s="11" t="s">
        <v>365</v>
      </c>
      <c r="C234" s="11" t="s">
        <v>842</v>
      </c>
      <c r="D234" s="11" t="s">
        <v>843</v>
      </c>
      <c r="E234" s="11" t="s">
        <v>423</v>
      </c>
      <c r="F234" s="11" t="s">
        <v>524</v>
      </c>
      <c r="G234" s="12" t="s">
        <v>417</v>
      </c>
      <c r="H234" s="12" t="s">
        <v>425</v>
      </c>
      <c r="I234" s="11"/>
      <c r="J234" s="11"/>
      <c r="K234" s="11"/>
      <c r="L234" s="11"/>
      <c r="M234" s="12"/>
      <c r="N234" s="12"/>
      <c r="O234" s="12" t="s">
        <v>420</v>
      </c>
      <c r="P234" s="11" t="s">
        <v>844</v>
      </c>
    </row>
    <row r="235" spans="1:16" x14ac:dyDescent="0.3">
      <c r="A235" s="11" t="s">
        <v>364</v>
      </c>
      <c r="B235" s="11" t="s">
        <v>365</v>
      </c>
      <c r="C235" s="11" t="s">
        <v>845</v>
      </c>
      <c r="D235" s="11" t="s">
        <v>845</v>
      </c>
      <c r="E235" s="11" t="s">
        <v>423</v>
      </c>
      <c r="F235" s="11" t="s">
        <v>449</v>
      </c>
      <c r="G235" s="12" t="s">
        <v>417</v>
      </c>
      <c r="H235" s="12"/>
      <c r="I235" s="11"/>
      <c r="J235" s="11" t="s">
        <v>846</v>
      </c>
      <c r="K235" s="11"/>
      <c r="L235" s="11"/>
      <c r="M235" s="12"/>
      <c r="N235" s="12"/>
      <c r="O235" s="12" t="s">
        <v>420</v>
      </c>
      <c r="P235" s="11" t="s">
        <v>847</v>
      </c>
    </row>
    <row r="236" spans="1:16" x14ac:dyDescent="0.3">
      <c r="A236" s="11" t="s">
        <v>364</v>
      </c>
      <c r="B236" s="11" t="s">
        <v>365</v>
      </c>
      <c r="C236" s="11" t="s">
        <v>848</v>
      </c>
      <c r="D236" s="11" t="s">
        <v>849</v>
      </c>
      <c r="E236" s="11" t="s">
        <v>423</v>
      </c>
      <c r="F236" s="11" t="s">
        <v>434</v>
      </c>
      <c r="G236" s="12" t="s">
        <v>420</v>
      </c>
      <c r="H236" s="12" t="s">
        <v>425</v>
      </c>
      <c r="I236" s="11"/>
      <c r="J236" s="11"/>
      <c r="K236" s="11"/>
      <c r="L236" s="11"/>
      <c r="M236" s="12"/>
      <c r="N236" s="12"/>
      <c r="O236" s="12" t="s">
        <v>420</v>
      </c>
      <c r="P236" s="11"/>
    </row>
    <row r="237" spans="1:16" x14ac:dyDescent="0.3">
      <c r="A237" s="11" t="s">
        <v>364</v>
      </c>
      <c r="B237" s="11" t="s">
        <v>365</v>
      </c>
      <c r="C237" s="11" t="s">
        <v>850</v>
      </c>
      <c r="D237" s="11" t="s">
        <v>850</v>
      </c>
      <c r="E237" s="11" t="s">
        <v>851</v>
      </c>
      <c r="F237" s="11" t="s">
        <v>449</v>
      </c>
      <c r="G237" s="12" t="s">
        <v>417</v>
      </c>
      <c r="H237" s="12"/>
      <c r="I237" s="11"/>
      <c r="J237" s="11"/>
      <c r="K237" s="11"/>
      <c r="L237" s="11"/>
      <c r="M237" s="12"/>
      <c r="N237" s="12"/>
      <c r="O237" s="12" t="s">
        <v>420</v>
      </c>
      <c r="P237" s="11" t="s">
        <v>852</v>
      </c>
    </row>
    <row r="238" spans="1:16" x14ac:dyDescent="0.3">
      <c r="A238" s="11" t="s">
        <v>364</v>
      </c>
      <c r="B238" s="11" t="s">
        <v>365</v>
      </c>
      <c r="C238" s="11" t="s">
        <v>452</v>
      </c>
      <c r="D238" s="11" t="s">
        <v>452</v>
      </c>
      <c r="E238" s="11" t="s">
        <v>853</v>
      </c>
      <c r="F238" s="11" t="s">
        <v>449</v>
      </c>
      <c r="G238" s="12" t="s">
        <v>417</v>
      </c>
      <c r="H238" s="12"/>
      <c r="I238" s="11"/>
      <c r="J238" s="11" t="s">
        <v>854</v>
      </c>
      <c r="K238" s="11"/>
      <c r="L238" s="11"/>
      <c r="M238" s="12"/>
      <c r="N238" s="12"/>
      <c r="O238" s="12" t="s">
        <v>420</v>
      </c>
      <c r="P238" s="11"/>
    </row>
    <row r="239" spans="1:16" x14ac:dyDescent="0.3">
      <c r="A239" s="11" t="s">
        <v>364</v>
      </c>
      <c r="B239" s="11" t="s">
        <v>365</v>
      </c>
      <c r="C239" s="11" t="s">
        <v>855</v>
      </c>
      <c r="D239" s="11" t="s">
        <v>855</v>
      </c>
      <c r="E239" s="11" t="s">
        <v>546</v>
      </c>
      <c r="F239" s="11" t="s">
        <v>767</v>
      </c>
      <c r="G239" s="12" t="s">
        <v>417</v>
      </c>
      <c r="H239" s="12"/>
      <c r="I239" s="11"/>
      <c r="J239" s="11"/>
      <c r="K239" s="11" t="s">
        <v>856</v>
      </c>
      <c r="L239" s="11"/>
      <c r="M239" s="12"/>
      <c r="N239" s="12"/>
      <c r="O239" s="12" t="s">
        <v>420</v>
      </c>
      <c r="P239" s="11" t="s">
        <v>857</v>
      </c>
    </row>
    <row r="240" spans="1:16" x14ac:dyDescent="0.3">
      <c r="A240" s="11" t="s">
        <v>364</v>
      </c>
      <c r="B240" s="11" t="s">
        <v>365</v>
      </c>
      <c r="C240" s="11" t="s">
        <v>639</v>
      </c>
      <c r="D240" s="11" t="s">
        <v>639</v>
      </c>
      <c r="E240" s="11" t="s">
        <v>423</v>
      </c>
      <c r="F240" s="11" t="s">
        <v>468</v>
      </c>
      <c r="G240" s="12" t="s">
        <v>417</v>
      </c>
      <c r="H240" s="12"/>
      <c r="I240" s="11"/>
      <c r="J240" s="11"/>
      <c r="K240" s="11"/>
      <c r="L240" s="11"/>
      <c r="M240" s="12"/>
      <c r="N240" s="12"/>
      <c r="O240" s="12" t="s">
        <v>420</v>
      </c>
      <c r="P240" s="11"/>
    </row>
    <row r="241" spans="1:16" x14ac:dyDescent="0.3">
      <c r="A241" s="11" t="s">
        <v>364</v>
      </c>
      <c r="B241" s="11" t="s">
        <v>365</v>
      </c>
      <c r="C241" s="11" t="s">
        <v>858</v>
      </c>
      <c r="D241" s="11" t="s">
        <v>859</v>
      </c>
      <c r="E241" s="11" t="s">
        <v>423</v>
      </c>
      <c r="F241" s="11" t="s">
        <v>503</v>
      </c>
      <c r="G241" s="12" t="s">
        <v>420</v>
      </c>
      <c r="H241" s="12"/>
      <c r="I241" s="11"/>
      <c r="J241" s="11"/>
      <c r="K241" s="11"/>
      <c r="L241" s="11"/>
      <c r="M241" s="12"/>
      <c r="N241" s="12"/>
      <c r="O241" s="12" t="s">
        <v>420</v>
      </c>
      <c r="P241" s="11"/>
    </row>
    <row r="242" spans="1:16" x14ac:dyDescent="0.3">
      <c r="A242" s="11" t="s">
        <v>364</v>
      </c>
      <c r="B242" s="11" t="s">
        <v>365</v>
      </c>
      <c r="C242" s="11" t="s">
        <v>787</v>
      </c>
      <c r="D242" s="11" t="s">
        <v>788</v>
      </c>
      <c r="E242" s="11" t="s">
        <v>423</v>
      </c>
      <c r="F242" s="11" t="s">
        <v>434</v>
      </c>
      <c r="G242" s="12" t="s">
        <v>420</v>
      </c>
      <c r="H242" s="12" t="s">
        <v>425</v>
      </c>
      <c r="I242" s="11"/>
      <c r="J242" s="11"/>
      <c r="K242" s="11"/>
      <c r="L242" s="11"/>
      <c r="M242" s="12"/>
      <c r="N242" s="12"/>
      <c r="O242" s="12"/>
      <c r="P242" s="11" t="s">
        <v>860</v>
      </c>
    </row>
    <row r="243" spans="1:16" x14ac:dyDescent="0.3">
      <c r="A243" s="11" t="s">
        <v>364</v>
      </c>
      <c r="B243" s="11" t="s">
        <v>365</v>
      </c>
      <c r="C243" s="11" t="s">
        <v>861</v>
      </c>
      <c r="D243" s="11" t="s">
        <v>862</v>
      </c>
      <c r="E243" s="11" t="s">
        <v>477</v>
      </c>
      <c r="F243" s="11" t="s">
        <v>478</v>
      </c>
      <c r="G243" s="12" t="s">
        <v>420</v>
      </c>
      <c r="H243" s="12"/>
      <c r="I243" s="11"/>
      <c r="J243" s="11"/>
      <c r="K243" s="11"/>
      <c r="L243" s="11"/>
      <c r="M243" s="12"/>
      <c r="N243" s="12"/>
      <c r="O243" s="12" t="s">
        <v>420</v>
      </c>
      <c r="P243" s="11"/>
    </row>
    <row r="244" spans="1:16" x14ac:dyDescent="0.3">
      <c r="A244" s="11" t="s">
        <v>364</v>
      </c>
      <c r="B244" s="11" t="s">
        <v>365</v>
      </c>
      <c r="C244" s="11" t="s">
        <v>479</v>
      </c>
      <c r="D244" s="11" t="s">
        <v>480</v>
      </c>
      <c r="E244" s="11" t="s">
        <v>477</v>
      </c>
      <c r="F244" s="11" t="s">
        <v>478</v>
      </c>
      <c r="G244" s="12" t="s">
        <v>417</v>
      </c>
      <c r="H244" s="12"/>
      <c r="I244" s="11"/>
      <c r="J244" s="11" t="s">
        <v>481</v>
      </c>
      <c r="K244" s="11"/>
      <c r="L244" s="11" t="s">
        <v>482</v>
      </c>
      <c r="M244" s="12"/>
      <c r="N244" s="12"/>
      <c r="O244" s="12" t="s">
        <v>420</v>
      </c>
      <c r="P244" s="11" t="s">
        <v>483</v>
      </c>
    </row>
    <row r="245" spans="1:16" x14ac:dyDescent="0.3">
      <c r="A245" s="11" t="s">
        <v>364</v>
      </c>
      <c r="B245" s="11" t="s">
        <v>365</v>
      </c>
      <c r="C245" s="11" t="s">
        <v>484</v>
      </c>
      <c r="D245" s="11" t="s">
        <v>485</v>
      </c>
      <c r="E245" s="11" t="s">
        <v>477</v>
      </c>
      <c r="F245" s="11" t="s">
        <v>478</v>
      </c>
      <c r="G245" s="12" t="s">
        <v>417</v>
      </c>
      <c r="H245" s="12"/>
      <c r="I245" s="11"/>
      <c r="J245" s="11" t="s">
        <v>481</v>
      </c>
      <c r="K245" s="11"/>
      <c r="L245" s="11" t="s">
        <v>482</v>
      </c>
      <c r="M245" s="12"/>
      <c r="N245" s="12"/>
      <c r="O245" s="12" t="s">
        <v>420</v>
      </c>
      <c r="P245" s="11" t="s">
        <v>486</v>
      </c>
    </row>
    <row r="246" spans="1:16" ht="26.4" x14ac:dyDescent="0.3">
      <c r="A246" s="10" t="s">
        <v>367</v>
      </c>
      <c r="B246" s="10" t="s">
        <v>368</v>
      </c>
      <c r="C246" s="10" t="s">
        <v>414</v>
      </c>
      <c r="D246" s="10" t="s">
        <v>414</v>
      </c>
      <c r="E246" s="10" t="s">
        <v>415</v>
      </c>
      <c r="F246" s="10" t="s">
        <v>416</v>
      </c>
      <c r="G246" s="13" t="s">
        <v>417</v>
      </c>
      <c r="H246" s="13" t="s">
        <v>418</v>
      </c>
      <c r="I246" s="10"/>
      <c r="J246" s="10" t="s">
        <v>419</v>
      </c>
      <c r="K246" s="10"/>
      <c r="L246" s="10"/>
      <c r="M246" s="13"/>
      <c r="N246" s="13"/>
      <c r="O246" s="13" t="s">
        <v>420</v>
      </c>
      <c r="P246" s="10" t="s">
        <v>421</v>
      </c>
    </row>
    <row r="247" spans="1:16" ht="26.4" x14ac:dyDescent="0.3">
      <c r="A247" s="10" t="s">
        <v>367</v>
      </c>
      <c r="B247" s="10" t="s">
        <v>368</v>
      </c>
      <c r="C247" s="10" t="s">
        <v>863</v>
      </c>
      <c r="D247" s="10" t="s">
        <v>864</v>
      </c>
      <c r="E247" s="10" t="s">
        <v>364</v>
      </c>
      <c r="F247" s="10" t="s">
        <v>416</v>
      </c>
      <c r="G247" s="13" t="s">
        <v>420</v>
      </c>
      <c r="H247" s="13" t="s">
        <v>489</v>
      </c>
      <c r="I247" s="10" t="s">
        <v>865</v>
      </c>
      <c r="J247" s="10"/>
      <c r="K247" s="10"/>
      <c r="L247" s="10"/>
      <c r="M247" s="13"/>
      <c r="N247" s="13"/>
      <c r="O247" s="13"/>
      <c r="P247" s="10"/>
    </row>
    <row r="248" spans="1:16" ht="26.4" x14ac:dyDescent="0.3">
      <c r="A248" s="10" t="s">
        <v>367</v>
      </c>
      <c r="B248" s="10" t="s">
        <v>368</v>
      </c>
      <c r="C248" s="10" t="s">
        <v>866</v>
      </c>
      <c r="D248" s="10" t="s">
        <v>867</v>
      </c>
      <c r="E248" s="10" t="s">
        <v>423</v>
      </c>
      <c r="F248" s="10" t="s">
        <v>434</v>
      </c>
      <c r="G248" s="13" t="s">
        <v>417</v>
      </c>
      <c r="H248" s="13" t="s">
        <v>425</v>
      </c>
      <c r="I248" s="10"/>
      <c r="J248" s="10"/>
      <c r="K248" s="10"/>
      <c r="L248" s="10"/>
      <c r="M248" s="13"/>
      <c r="N248" s="13"/>
      <c r="O248" s="13"/>
      <c r="P248" s="10" t="s">
        <v>868</v>
      </c>
    </row>
    <row r="249" spans="1:16" ht="26.4" x14ac:dyDescent="0.3">
      <c r="A249" s="10" t="s">
        <v>367</v>
      </c>
      <c r="B249" s="10" t="s">
        <v>368</v>
      </c>
      <c r="C249" s="10" t="s">
        <v>869</v>
      </c>
      <c r="D249" s="10" t="s">
        <v>870</v>
      </c>
      <c r="E249" s="10" t="s">
        <v>423</v>
      </c>
      <c r="F249" s="10" t="s">
        <v>524</v>
      </c>
      <c r="G249" s="13" t="s">
        <v>417</v>
      </c>
      <c r="H249" s="13"/>
      <c r="I249" s="10"/>
      <c r="J249" s="10"/>
      <c r="K249" s="10"/>
      <c r="L249" s="10"/>
      <c r="M249" s="13"/>
      <c r="N249" s="13"/>
      <c r="O249" s="13"/>
      <c r="P249" s="10"/>
    </row>
    <row r="250" spans="1:16" ht="26.4" x14ac:dyDescent="0.3">
      <c r="A250" s="10" t="s">
        <v>367</v>
      </c>
      <c r="B250" s="10" t="s">
        <v>368</v>
      </c>
      <c r="C250" s="10" t="s">
        <v>871</v>
      </c>
      <c r="D250" s="10" t="s">
        <v>871</v>
      </c>
      <c r="E250" s="10" t="s">
        <v>423</v>
      </c>
      <c r="F250" s="10" t="s">
        <v>512</v>
      </c>
      <c r="G250" s="13" t="s">
        <v>417</v>
      </c>
      <c r="H250" s="13"/>
      <c r="I250" s="10"/>
      <c r="J250" s="10"/>
      <c r="K250" s="10"/>
      <c r="L250" s="10"/>
      <c r="M250" s="13"/>
      <c r="N250" s="13"/>
      <c r="O250" s="13"/>
      <c r="P250" s="10" t="s">
        <v>872</v>
      </c>
    </row>
    <row r="251" spans="1:16" ht="26.4" x14ac:dyDescent="0.3">
      <c r="A251" s="10" t="s">
        <v>367</v>
      </c>
      <c r="B251" s="10" t="s">
        <v>368</v>
      </c>
      <c r="C251" s="10" t="s">
        <v>873</v>
      </c>
      <c r="D251" s="10" t="s">
        <v>873</v>
      </c>
      <c r="E251" s="10" t="s">
        <v>458</v>
      </c>
      <c r="F251" s="10" t="s">
        <v>459</v>
      </c>
      <c r="G251" s="13" t="s">
        <v>417</v>
      </c>
      <c r="H251" s="13"/>
      <c r="I251" s="10"/>
      <c r="J251" s="10" t="s">
        <v>460</v>
      </c>
      <c r="K251" s="10"/>
      <c r="L251" s="10"/>
      <c r="M251" s="13"/>
      <c r="N251" s="13"/>
      <c r="O251" s="13"/>
      <c r="P251" s="10"/>
    </row>
    <row r="252" spans="1:16" ht="26.4" x14ac:dyDescent="0.3">
      <c r="A252" s="10" t="s">
        <v>367</v>
      </c>
      <c r="B252" s="10" t="s">
        <v>368</v>
      </c>
      <c r="C252" s="10" t="s">
        <v>874</v>
      </c>
      <c r="D252" s="10" t="s">
        <v>875</v>
      </c>
      <c r="E252" s="10" t="s">
        <v>477</v>
      </c>
      <c r="F252" s="10" t="s">
        <v>478</v>
      </c>
      <c r="G252" s="13" t="s">
        <v>420</v>
      </c>
      <c r="H252" s="13"/>
      <c r="I252" s="10"/>
      <c r="J252" s="10"/>
      <c r="K252" s="10"/>
      <c r="L252" s="10"/>
      <c r="M252" s="13"/>
      <c r="N252" s="13"/>
      <c r="O252" s="13"/>
      <c r="P252" s="10"/>
    </row>
    <row r="253" spans="1:16" ht="26.4" x14ac:dyDescent="0.3">
      <c r="A253" s="10" t="s">
        <v>367</v>
      </c>
      <c r="B253" s="10" t="s">
        <v>368</v>
      </c>
      <c r="C253" s="10" t="s">
        <v>479</v>
      </c>
      <c r="D253" s="10" t="s">
        <v>480</v>
      </c>
      <c r="E253" s="10" t="s">
        <v>477</v>
      </c>
      <c r="F253" s="10" t="s">
        <v>478</v>
      </c>
      <c r="G253" s="13" t="s">
        <v>417</v>
      </c>
      <c r="H253" s="13"/>
      <c r="I253" s="10"/>
      <c r="J253" s="10" t="s">
        <v>481</v>
      </c>
      <c r="K253" s="10"/>
      <c r="L253" s="10" t="s">
        <v>482</v>
      </c>
      <c r="M253" s="13"/>
      <c r="N253" s="13"/>
      <c r="O253" s="13" t="s">
        <v>420</v>
      </c>
      <c r="P253" s="10" t="s">
        <v>483</v>
      </c>
    </row>
    <row r="254" spans="1:16" ht="26.4" x14ac:dyDescent="0.3">
      <c r="A254" s="11" t="s">
        <v>370</v>
      </c>
      <c r="B254" s="11" t="s">
        <v>371</v>
      </c>
      <c r="C254" s="11" t="s">
        <v>414</v>
      </c>
      <c r="D254" s="11" t="s">
        <v>414</v>
      </c>
      <c r="E254" s="11" t="s">
        <v>415</v>
      </c>
      <c r="F254" s="11" t="s">
        <v>416</v>
      </c>
      <c r="G254" s="12" t="s">
        <v>417</v>
      </c>
      <c r="H254" s="12" t="s">
        <v>418</v>
      </c>
      <c r="I254" s="11"/>
      <c r="J254" s="11" t="s">
        <v>419</v>
      </c>
      <c r="K254" s="11"/>
      <c r="L254" s="11"/>
      <c r="M254" s="12"/>
      <c r="N254" s="12"/>
      <c r="O254" s="12" t="s">
        <v>420</v>
      </c>
      <c r="P254" s="11" t="s">
        <v>421</v>
      </c>
    </row>
    <row r="255" spans="1:16" x14ac:dyDescent="0.3">
      <c r="A255" s="11" t="s">
        <v>370</v>
      </c>
      <c r="B255" s="11" t="s">
        <v>371</v>
      </c>
      <c r="C255" s="11" t="s">
        <v>863</v>
      </c>
      <c r="D255" s="11" t="s">
        <v>864</v>
      </c>
      <c r="E255" s="11" t="s">
        <v>364</v>
      </c>
      <c r="F255" s="11" t="s">
        <v>416</v>
      </c>
      <c r="G255" s="12" t="s">
        <v>417</v>
      </c>
      <c r="H255" s="12" t="s">
        <v>489</v>
      </c>
      <c r="I255" s="11" t="s">
        <v>865</v>
      </c>
      <c r="J255" s="11"/>
      <c r="K255" s="11"/>
      <c r="L255" s="11"/>
      <c r="M255" s="12"/>
      <c r="N255" s="12"/>
      <c r="O255" s="12" t="s">
        <v>420</v>
      </c>
      <c r="P255" s="11"/>
    </row>
    <row r="256" spans="1:16" x14ac:dyDescent="0.3">
      <c r="A256" s="11" t="s">
        <v>370</v>
      </c>
      <c r="B256" s="11" t="s">
        <v>371</v>
      </c>
      <c r="C256" s="11" t="s">
        <v>791</v>
      </c>
      <c r="D256" s="11" t="s">
        <v>792</v>
      </c>
      <c r="E256" s="11" t="s">
        <v>345</v>
      </c>
      <c r="F256" s="11" t="s">
        <v>416</v>
      </c>
      <c r="G256" s="12" t="s">
        <v>417</v>
      </c>
      <c r="H256" s="12" t="s">
        <v>489</v>
      </c>
      <c r="I256" s="11" t="s">
        <v>793</v>
      </c>
      <c r="J256" s="11"/>
      <c r="K256" s="11"/>
      <c r="L256" s="11"/>
      <c r="M256" s="12"/>
      <c r="N256" s="12"/>
      <c r="O256" s="12" t="s">
        <v>420</v>
      </c>
      <c r="P256" s="11"/>
    </row>
    <row r="257" spans="1:16" x14ac:dyDescent="0.3">
      <c r="A257" s="11" t="s">
        <v>370</v>
      </c>
      <c r="B257" s="11" t="s">
        <v>371</v>
      </c>
      <c r="C257" s="11" t="s">
        <v>855</v>
      </c>
      <c r="D257" s="11" t="s">
        <v>855</v>
      </c>
      <c r="E257" s="11" t="s">
        <v>546</v>
      </c>
      <c r="F257" s="11" t="s">
        <v>767</v>
      </c>
      <c r="G257" s="12" t="s">
        <v>417</v>
      </c>
      <c r="H257" s="12"/>
      <c r="I257" s="11"/>
      <c r="J257" s="11"/>
      <c r="K257" s="11" t="s">
        <v>856</v>
      </c>
      <c r="L257" s="11"/>
      <c r="M257" s="12"/>
      <c r="N257" s="12"/>
      <c r="O257" s="12" t="s">
        <v>420</v>
      </c>
      <c r="P257" s="11" t="s">
        <v>876</v>
      </c>
    </row>
    <row r="258" spans="1:16" x14ac:dyDescent="0.3">
      <c r="A258" s="11" t="s">
        <v>370</v>
      </c>
      <c r="B258" s="11" t="s">
        <v>371</v>
      </c>
      <c r="C258" s="11" t="s">
        <v>639</v>
      </c>
      <c r="D258" s="11" t="s">
        <v>639</v>
      </c>
      <c r="E258" s="11" t="s">
        <v>423</v>
      </c>
      <c r="F258" s="11" t="s">
        <v>468</v>
      </c>
      <c r="G258" s="12" t="s">
        <v>417</v>
      </c>
      <c r="H258" s="12"/>
      <c r="I258" s="11"/>
      <c r="J258" s="11"/>
      <c r="K258" s="11"/>
      <c r="L258" s="11"/>
      <c r="M258" s="12"/>
      <c r="N258" s="12"/>
      <c r="O258" s="12" t="s">
        <v>420</v>
      </c>
      <c r="P258" s="11"/>
    </row>
    <row r="259" spans="1:16" x14ac:dyDescent="0.3">
      <c r="A259" s="11" t="s">
        <v>370</v>
      </c>
      <c r="B259" s="11" t="s">
        <v>371</v>
      </c>
      <c r="C259" s="11" t="s">
        <v>732</v>
      </c>
      <c r="D259" s="11" t="s">
        <v>732</v>
      </c>
      <c r="E259" s="11" t="s">
        <v>423</v>
      </c>
      <c r="F259" s="11" t="s">
        <v>473</v>
      </c>
      <c r="G259" s="12" t="s">
        <v>420</v>
      </c>
      <c r="H259" s="12"/>
      <c r="I259" s="11"/>
      <c r="J259" s="11"/>
      <c r="K259" s="11"/>
      <c r="L259" s="11"/>
      <c r="M259" s="12"/>
      <c r="N259" s="12"/>
      <c r="O259" s="12" t="s">
        <v>420</v>
      </c>
      <c r="P259" s="11"/>
    </row>
    <row r="260" spans="1:16" x14ac:dyDescent="0.3">
      <c r="A260" s="11" t="s">
        <v>370</v>
      </c>
      <c r="B260" s="11" t="s">
        <v>371</v>
      </c>
      <c r="C260" s="11" t="s">
        <v>452</v>
      </c>
      <c r="D260" s="11" t="s">
        <v>452</v>
      </c>
      <c r="E260" s="11" t="s">
        <v>877</v>
      </c>
      <c r="F260" s="11" t="s">
        <v>449</v>
      </c>
      <c r="G260" s="12" t="s">
        <v>417</v>
      </c>
      <c r="H260" s="12"/>
      <c r="I260" s="11"/>
      <c r="J260" s="11" t="s">
        <v>540</v>
      </c>
      <c r="K260" s="11"/>
      <c r="L260" s="11"/>
      <c r="M260" s="12"/>
      <c r="N260" s="12"/>
      <c r="O260" s="12" t="s">
        <v>420</v>
      </c>
      <c r="P260" s="11"/>
    </row>
    <row r="261" spans="1:16" x14ac:dyDescent="0.3">
      <c r="A261" s="11" t="s">
        <v>370</v>
      </c>
      <c r="B261" s="11" t="s">
        <v>371</v>
      </c>
      <c r="C261" s="11" t="s">
        <v>878</v>
      </c>
      <c r="D261" s="11" t="s">
        <v>879</v>
      </c>
      <c r="E261" s="11" t="s">
        <v>423</v>
      </c>
      <c r="F261" s="11" t="s">
        <v>434</v>
      </c>
      <c r="G261" s="12" t="s">
        <v>420</v>
      </c>
      <c r="H261" s="12"/>
      <c r="I261" s="11"/>
      <c r="J261" s="11"/>
      <c r="K261" s="11"/>
      <c r="L261" s="11"/>
      <c r="M261" s="12"/>
      <c r="N261" s="12"/>
      <c r="O261" s="12" t="s">
        <v>420</v>
      </c>
      <c r="P261" s="11"/>
    </row>
    <row r="262" spans="1:16" x14ac:dyDescent="0.3">
      <c r="A262" s="11" t="s">
        <v>370</v>
      </c>
      <c r="B262" s="11" t="s">
        <v>371</v>
      </c>
      <c r="C262" s="11" t="s">
        <v>880</v>
      </c>
      <c r="D262" s="11" t="s">
        <v>881</v>
      </c>
      <c r="E262" s="11" t="s">
        <v>298</v>
      </c>
      <c r="F262" s="11" t="s">
        <v>416</v>
      </c>
      <c r="G262" s="12" t="s">
        <v>420</v>
      </c>
      <c r="H262" s="12" t="s">
        <v>489</v>
      </c>
      <c r="I262" s="11" t="s">
        <v>490</v>
      </c>
      <c r="J262" s="11"/>
      <c r="K262" s="11"/>
      <c r="L262" s="11"/>
      <c r="M262" s="12"/>
      <c r="N262" s="12"/>
      <c r="O262" s="12" t="s">
        <v>420</v>
      </c>
      <c r="P262" s="11" t="s">
        <v>882</v>
      </c>
    </row>
    <row r="263" spans="1:16" x14ac:dyDescent="0.3">
      <c r="A263" s="11" t="s">
        <v>370</v>
      </c>
      <c r="B263" s="11" t="s">
        <v>371</v>
      </c>
      <c r="C263" s="11" t="s">
        <v>874</v>
      </c>
      <c r="D263" s="11" t="s">
        <v>875</v>
      </c>
      <c r="E263" s="11" t="s">
        <v>477</v>
      </c>
      <c r="F263" s="11" t="s">
        <v>478</v>
      </c>
      <c r="G263" s="12" t="s">
        <v>420</v>
      </c>
      <c r="H263" s="12"/>
      <c r="I263" s="11"/>
      <c r="J263" s="11"/>
      <c r="K263" s="11"/>
      <c r="L263" s="11"/>
      <c r="M263" s="12"/>
      <c r="N263" s="12"/>
      <c r="O263" s="12" t="s">
        <v>420</v>
      </c>
      <c r="P263" s="11"/>
    </row>
    <row r="264" spans="1:16" x14ac:dyDescent="0.3">
      <c r="A264" s="11" t="s">
        <v>370</v>
      </c>
      <c r="B264" s="11" t="s">
        <v>371</v>
      </c>
      <c r="C264" s="11" t="s">
        <v>479</v>
      </c>
      <c r="D264" s="11" t="s">
        <v>480</v>
      </c>
      <c r="E264" s="11" t="s">
        <v>477</v>
      </c>
      <c r="F264" s="11" t="s">
        <v>478</v>
      </c>
      <c r="G264" s="12" t="s">
        <v>417</v>
      </c>
      <c r="H264" s="12"/>
      <c r="I264" s="11"/>
      <c r="J264" s="11" t="s">
        <v>481</v>
      </c>
      <c r="K264" s="11"/>
      <c r="L264" s="11" t="s">
        <v>482</v>
      </c>
      <c r="M264" s="12"/>
      <c r="N264" s="12"/>
      <c r="O264" s="12" t="s">
        <v>420</v>
      </c>
      <c r="P264" s="11" t="s">
        <v>483</v>
      </c>
    </row>
    <row r="265" spans="1:16" x14ac:dyDescent="0.3">
      <c r="A265" s="11" t="s">
        <v>370</v>
      </c>
      <c r="B265" s="11" t="s">
        <v>371</v>
      </c>
      <c r="C265" s="11" t="s">
        <v>484</v>
      </c>
      <c r="D265" s="11" t="s">
        <v>485</v>
      </c>
      <c r="E265" s="11" t="s">
        <v>477</v>
      </c>
      <c r="F265" s="11" t="s">
        <v>478</v>
      </c>
      <c r="G265" s="12" t="s">
        <v>417</v>
      </c>
      <c r="H265" s="12"/>
      <c r="I265" s="11"/>
      <c r="J265" s="11" t="s">
        <v>481</v>
      </c>
      <c r="K265" s="11"/>
      <c r="L265" s="11" t="s">
        <v>482</v>
      </c>
      <c r="M265" s="12"/>
      <c r="N265" s="12"/>
      <c r="O265" s="12" t="s">
        <v>420</v>
      </c>
      <c r="P265" s="11" t="s">
        <v>486</v>
      </c>
    </row>
    <row r="266" spans="1:16" ht="26.4" x14ac:dyDescent="0.3">
      <c r="A266" s="10" t="s">
        <v>373</v>
      </c>
      <c r="B266" s="10" t="s">
        <v>374</v>
      </c>
      <c r="C266" s="10" t="s">
        <v>414</v>
      </c>
      <c r="D266" s="10" t="s">
        <v>414</v>
      </c>
      <c r="E266" s="10" t="s">
        <v>415</v>
      </c>
      <c r="F266" s="10" t="s">
        <v>416</v>
      </c>
      <c r="G266" s="13" t="s">
        <v>417</v>
      </c>
      <c r="H266" s="13" t="s">
        <v>418</v>
      </c>
      <c r="I266" s="10"/>
      <c r="J266" s="10" t="s">
        <v>419</v>
      </c>
      <c r="K266" s="10"/>
      <c r="L266" s="10"/>
      <c r="M266" s="13"/>
      <c r="N266" s="13"/>
      <c r="O266" s="13" t="s">
        <v>420</v>
      </c>
      <c r="P266" s="10" t="s">
        <v>421</v>
      </c>
    </row>
    <row r="267" spans="1:16" x14ac:dyDescent="0.3">
      <c r="A267" s="10" t="s">
        <v>373</v>
      </c>
      <c r="B267" s="10" t="s">
        <v>374</v>
      </c>
      <c r="C267" s="10" t="s">
        <v>588</v>
      </c>
      <c r="D267" s="10" t="s">
        <v>589</v>
      </c>
      <c r="E267" s="10" t="s">
        <v>307</v>
      </c>
      <c r="F267" s="10" t="s">
        <v>416</v>
      </c>
      <c r="G267" s="13" t="s">
        <v>417</v>
      </c>
      <c r="H267" s="13" t="s">
        <v>489</v>
      </c>
      <c r="I267" s="10" t="s">
        <v>590</v>
      </c>
      <c r="J267" s="10"/>
      <c r="K267" s="10"/>
      <c r="L267" s="10"/>
      <c r="M267" s="13"/>
      <c r="N267" s="13"/>
      <c r="O267" s="13" t="s">
        <v>420</v>
      </c>
      <c r="P267" s="10"/>
    </row>
    <row r="268" spans="1:16" x14ac:dyDescent="0.3">
      <c r="A268" s="10" t="s">
        <v>373</v>
      </c>
      <c r="B268" s="10" t="s">
        <v>374</v>
      </c>
      <c r="C268" s="10" t="s">
        <v>883</v>
      </c>
      <c r="D268" s="10" t="s">
        <v>884</v>
      </c>
      <c r="E268" s="10" t="s">
        <v>444</v>
      </c>
      <c r="F268" s="10" t="s">
        <v>445</v>
      </c>
      <c r="G268" s="13" t="s">
        <v>417</v>
      </c>
      <c r="H268" s="13"/>
      <c r="I268" s="10"/>
      <c r="J268" s="10"/>
      <c r="K268" s="10"/>
      <c r="L268" s="10"/>
      <c r="M268" s="13"/>
      <c r="N268" s="13"/>
      <c r="O268" s="13" t="s">
        <v>420</v>
      </c>
      <c r="P268" s="10"/>
    </row>
    <row r="269" spans="1:16" x14ac:dyDescent="0.3">
      <c r="A269" s="10" t="s">
        <v>373</v>
      </c>
      <c r="B269" s="10" t="s">
        <v>374</v>
      </c>
      <c r="C269" s="10" t="s">
        <v>885</v>
      </c>
      <c r="D269" s="10" t="s">
        <v>886</v>
      </c>
      <c r="E269" s="10" t="s">
        <v>444</v>
      </c>
      <c r="F269" s="10" t="s">
        <v>445</v>
      </c>
      <c r="G269" s="13" t="s">
        <v>417</v>
      </c>
      <c r="H269" s="13"/>
      <c r="I269" s="10"/>
      <c r="J269" s="10"/>
      <c r="K269" s="10"/>
      <c r="L269" s="10"/>
      <c r="M269" s="13"/>
      <c r="N269" s="13"/>
      <c r="O269" s="13" t="s">
        <v>420</v>
      </c>
      <c r="P269" s="10"/>
    </row>
    <row r="270" spans="1:16" x14ac:dyDescent="0.3">
      <c r="A270" s="10" t="s">
        <v>373</v>
      </c>
      <c r="B270" s="10" t="s">
        <v>374</v>
      </c>
      <c r="C270" s="10" t="s">
        <v>887</v>
      </c>
      <c r="D270" s="10" t="s">
        <v>888</v>
      </c>
      <c r="E270" s="10" t="s">
        <v>546</v>
      </c>
      <c r="F270" s="10" t="s">
        <v>767</v>
      </c>
      <c r="G270" s="13" t="s">
        <v>417</v>
      </c>
      <c r="H270" s="13"/>
      <c r="I270" s="10"/>
      <c r="J270" s="10"/>
      <c r="K270" s="10"/>
      <c r="L270" s="10"/>
      <c r="M270" s="13"/>
      <c r="N270" s="13"/>
      <c r="O270" s="13" t="s">
        <v>420</v>
      </c>
      <c r="P270" s="10"/>
    </row>
    <row r="271" spans="1:16" x14ac:dyDescent="0.3">
      <c r="A271" s="10" t="s">
        <v>373</v>
      </c>
      <c r="B271" s="10" t="s">
        <v>374</v>
      </c>
      <c r="C271" s="10" t="s">
        <v>889</v>
      </c>
      <c r="D271" s="10" t="s">
        <v>890</v>
      </c>
      <c r="E271" s="10" t="s">
        <v>546</v>
      </c>
      <c r="F271" s="10" t="s">
        <v>767</v>
      </c>
      <c r="G271" s="13" t="s">
        <v>417</v>
      </c>
      <c r="H271" s="13"/>
      <c r="I271" s="10"/>
      <c r="J271" s="10"/>
      <c r="K271" s="10"/>
      <c r="L271" s="10"/>
      <c r="M271" s="13"/>
      <c r="N271" s="13"/>
      <c r="O271" s="13" t="s">
        <v>420</v>
      </c>
      <c r="P271" s="10"/>
    </row>
    <row r="272" spans="1:16" ht="26.4" x14ac:dyDescent="0.3">
      <c r="A272" s="10" t="s">
        <v>373</v>
      </c>
      <c r="B272" s="10" t="s">
        <v>374</v>
      </c>
      <c r="C272" s="10" t="s">
        <v>891</v>
      </c>
      <c r="D272" s="10" t="s">
        <v>892</v>
      </c>
      <c r="E272" s="10" t="s">
        <v>546</v>
      </c>
      <c r="F272" s="10" t="s">
        <v>767</v>
      </c>
      <c r="G272" s="13" t="s">
        <v>417</v>
      </c>
      <c r="H272" s="13"/>
      <c r="I272" s="10"/>
      <c r="J272" s="10"/>
      <c r="K272" s="10" t="s">
        <v>893</v>
      </c>
      <c r="L272" s="10"/>
      <c r="M272" s="13"/>
      <c r="N272" s="13"/>
      <c r="O272" s="13" t="s">
        <v>420</v>
      </c>
      <c r="P272" s="10"/>
    </row>
    <row r="273" spans="1:16" x14ac:dyDescent="0.3">
      <c r="A273" s="10" t="s">
        <v>373</v>
      </c>
      <c r="B273" s="10" t="s">
        <v>374</v>
      </c>
      <c r="C273" s="10" t="s">
        <v>639</v>
      </c>
      <c r="D273" s="10" t="s">
        <v>639</v>
      </c>
      <c r="E273" s="10" t="s">
        <v>423</v>
      </c>
      <c r="F273" s="10" t="s">
        <v>468</v>
      </c>
      <c r="G273" s="13" t="s">
        <v>417</v>
      </c>
      <c r="H273" s="13"/>
      <c r="I273" s="10"/>
      <c r="J273" s="10"/>
      <c r="K273" s="10"/>
      <c r="L273" s="10"/>
      <c r="M273" s="13"/>
      <c r="N273" s="13"/>
      <c r="O273" s="13" t="s">
        <v>420</v>
      </c>
      <c r="P273" s="10"/>
    </row>
    <row r="274" spans="1:16" x14ac:dyDescent="0.3">
      <c r="A274" s="10" t="s">
        <v>373</v>
      </c>
      <c r="B274" s="10" t="s">
        <v>374</v>
      </c>
      <c r="C274" s="10" t="s">
        <v>452</v>
      </c>
      <c r="D274" s="10" t="s">
        <v>452</v>
      </c>
      <c r="E274" s="10" t="s">
        <v>894</v>
      </c>
      <c r="F274" s="10" t="s">
        <v>449</v>
      </c>
      <c r="G274" s="13" t="s">
        <v>417</v>
      </c>
      <c r="H274" s="13"/>
      <c r="I274" s="10"/>
      <c r="J274" s="10" t="s">
        <v>540</v>
      </c>
      <c r="K274" s="10"/>
      <c r="L274" s="10"/>
      <c r="M274" s="13"/>
      <c r="N274" s="13"/>
      <c r="O274" s="13" t="s">
        <v>420</v>
      </c>
      <c r="P274" s="10"/>
    </row>
    <row r="275" spans="1:16" x14ac:dyDescent="0.3">
      <c r="A275" s="10" t="s">
        <v>373</v>
      </c>
      <c r="B275" s="10" t="s">
        <v>374</v>
      </c>
      <c r="C275" s="10" t="s">
        <v>895</v>
      </c>
      <c r="D275" s="10" t="s">
        <v>895</v>
      </c>
      <c r="E275" s="10" t="s">
        <v>423</v>
      </c>
      <c r="F275" s="10" t="s">
        <v>524</v>
      </c>
      <c r="G275" s="13" t="s">
        <v>420</v>
      </c>
      <c r="H275" s="13"/>
      <c r="I275" s="10"/>
      <c r="J275" s="10"/>
      <c r="K275" s="10"/>
      <c r="L275" s="10"/>
      <c r="M275" s="13"/>
      <c r="N275" s="13"/>
      <c r="O275" s="13" t="s">
        <v>420</v>
      </c>
      <c r="P275" s="10" t="s">
        <v>896</v>
      </c>
    </row>
    <row r="276" spans="1:16" x14ac:dyDescent="0.3">
      <c r="A276" s="10" t="s">
        <v>373</v>
      </c>
      <c r="B276" s="10" t="s">
        <v>374</v>
      </c>
      <c r="C276" s="10" t="s">
        <v>861</v>
      </c>
      <c r="D276" s="10" t="s">
        <v>862</v>
      </c>
      <c r="E276" s="10" t="s">
        <v>477</v>
      </c>
      <c r="F276" s="10" t="s">
        <v>478</v>
      </c>
      <c r="G276" s="13" t="s">
        <v>420</v>
      </c>
      <c r="H276" s="13"/>
      <c r="I276" s="10"/>
      <c r="J276" s="10"/>
      <c r="K276" s="10"/>
      <c r="L276" s="10"/>
      <c r="M276" s="13"/>
      <c r="N276" s="13"/>
      <c r="O276" s="13" t="s">
        <v>420</v>
      </c>
      <c r="P276" s="10"/>
    </row>
    <row r="277" spans="1:16" x14ac:dyDescent="0.3">
      <c r="A277" s="10" t="s">
        <v>373</v>
      </c>
      <c r="B277" s="10" t="s">
        <v>374</v>
      </c>
      <c r="C277" s="10" t="s">
        <v>479</v>
      </c>
      <c r="D277" s="10" t="s">
        <v>480</v>
      </c>
      <c r="E277" s="10" t="s">
        <v>477</v>
      </c>
      <c r="F277" s="10" t="s">
        <v>478</v>
      </c>
      <c r="G277" s="13" t="s">
        <v>417</v>
      </c>
      <c r="H277" s="13"/>
      <c r="I277" s="10"/>
      <c r="J277" s="10" t="s">
        <v>481</v>
      </c>
      <c r="K277" s="10"/>
      <c r="L277" s="10" t="s">
        <v>482</v>
      </c>
      <c r="M277" s="13"/>
      <c r="N277" s="13"/>
      <c r="O277" s="13" t="s">
        <v>420</v>
      </c>
      <c r="P277" s="10" t="s">
        <v>483</v>
      </c>
    </row>
    <row r="278" spans="1:16" x14ac:dyDescent="0.3">
      <c r="A278" s="10" t="s">
        <v>373</v>
      </c>
      <c r="B278" s="10" t="s">
        <v>374</v>
      </c>
      <c r="C278" s="10" t="s">
        <v>484</v>
      </c>
      <c r="D278" s="10" t="s">
        <v>485</v>
      </c>
      <c r="E278" s="10" t="s">
        <v>477</v>
      </c>
      <c r="F278" s="10" t="s">
        <v>478</v>
      </c>
      <c r="G278" s="13" t="s">
        <v>417</v>
      </c>
      <c r="H278" s="13"/>
      <c r="I278" s="10"/>
      <c r="J278" s="10" t="s">
        <v>481</v>
      </c>
      <c r="K278" s="10"/>
      <c r="L278" s="10" t="s">
        <v>482</v>
      </c>
      <c r="M278" s="13"/>
      <c r="N278" s="13"/>
      <c r="O278" s="13" t="s">
        <v>420</v>
      </c>
      <c r="P278" s="10" t="s">
        <v>486</v>
      </c>
    </row>
    <row r="279" spans="1:16" ht="26.4" x14ac:dyDescent="0.3">
      <c r="A279" s="11" t="s">
        <v>376</v>
      </c>
      <c r="B279" s="11" t="s">
        <v>377</v>
      </c>
      <c r="C279" s="11" t="s">
        <v>414</v>
      </c>
      <c r="D279" s="11" t="s">
        <v>414</v>
      </c>
      <c r="E279" s="11" t="s">
        <v>415</v>
      </c>
      <c r="F279" s="11" t="s">
        <v>416</v>
      </c>
      <c r="G279" s="12" t="s">
        <v>417</v>
      </c>
      <c r="H279" s="12" t="s">
        <v>418</v>
      </c>
      <c r="I279" s="11"/>
      <c r="J279" s="11" t="s">
        <v>419</v>
      </c>
      <c r="K279" s="11"/>
      <c r="L279" s="11"/>
      <c r="M279" s="12"/>
      <c r="N279" s="12"/>
      <c r="O279" s="12" t="s">
        <v>420</v>
      </c>
      <c r="P279" s="11" t="s">
        <v>421</v>
      </c>
    </row>
    <row r="280" spans="1:16" x14ac:dyDescent="0.3">
      <c r="A280" s="11" t="s">
        <v>376</v>
      </c>
      <c r="B280" s="11" t="s">
        <v>377</v>
      </c>
      <c r="C280" s="11" t="s">
        <v>665</v>
      </c>
      <c r="D280" s="11" t="s">
        <v>666</v>
      </c>
      <c r="E280" s="11" t="s">
        <v>320</v>
      </c>
      <c r="F280" s="11" t="s">
        <v>416</v>
      </c>
      <c r="G280" s="12" t="s">
        <v>417</v>
      </c>
      <c r="H280" s="12" t="s">
        <v>489</v>
      </c>
      <c r="I280" s="11" t="s">
        <v>668</v>
      </c>
      <c r="J280" s="11"/>
      <c r="K280" s="11"/>
      <c r="L280" s="11"/>
      <c r="M280" s="12"/>
      <c r="N280" s="12"/>
      <c r="O280" s="12" t="s">
        <v>420</v>
      </c>
      <c r="P280" s="11" t="s">
        <v>695</v>
      </c>
    </row>
    <row r="281" spans="1:16" x14ac:dyDescent="0.3">
      <c r="A281" s="11" t="s">
        <v>376</v>
      </c>
      <c r="B281" s="11" t="s">
        <v>377</v>
      </c>
      <c r="C281" s="11" t="s">
        <v>487</v>
      </c>
      <c r="D281" s="11" t="s">
        <v>488</v>
      </c>
      <c r="E281" s="11" t="s">
        <v>298</v>
      </c>
      <c r="F281" s="11" t="s">
        <v>416</v>
      </c>
      <c r="G281" s="12" t="s">
        <v>417</v>
      </c>
      <c r="H281" s="12" t="s">
        <v>489</v>
      </c>
      <c r="I281" s="11" t="s">
        <v>490</v>
      </c>
      <c r="J281" s="11"/>
      <c r="K281" s="11"/>
      <c r="L281" s="11"/>
      <c r="M281" s="12"/>
      <c r="N281" s="12"/>
      <c r="O281" s="12" t="s">
        <v>420</v>
      </c>
      <c r="P281" s="11"/>
    </row>
    <row r="282" spans="1:16" ht="26.4" x14ac:dyDescent="0.3">
      <c r="A282" s="11" t="s">
        <v>376</v>
      </c>
      <c r="B282" s="11" t="s">
        <v>377</v>
      </c>
      <c r="C282" s="11" t="s">
        <v>791</v>
      </c>
      <c r="D282" s="11" t="s">
        <v>792</v>
      </c>
      <c r="E282" s="11" t="s">
        <v>345</v>
      </c>
      <c r="F282" s="11" t="s">
        <v>416</v>
      </c>
      <c r="G282" s="12" t="s">
        <v>417</v>
      </c>
      <c r="H282" s="12" t="s">
        <v>505</v>
      </c>
      <c r="I282" s="11" t="s">
        <v>793</v>
      </c>
      <c r="J282" s="11"/>
      <c r="K282" s="11"/>
      <c r="L282" s="11"/>
      <c r="M282" s="12" t="s">
        <v>420</v>
      </c>
      <c r="N282" s="12"/>
      <c r="O282" s="12" t="s">
        <v>420</v>
      </c>
      <c r="P282" s="11" t="s">
        <v>897</v>
      </c>
    </row>
    <row r="283" spans="1:16" x14ac:dyDescent="0.3">
      <c r="A283" s="11" t="s">
        <v>376</v>
      </c>
      <c r="B283" s="11" t="s">
        <v>377</v>
      </c>
      <c r="C283" s="11" t="s">
        <v>898</v>
      </c>
      <c r="D283" s="11" t="s">
        <v>898</v>
      </c>
      <c r="E283" s="11" t="s">
        <v>583</v>
      </c>
      <c r="F283" s="11" t="s">
        <v>584</v>
      </c>
      <c r="G283" s="12" t="s">
        <v>417</v>
      </c>
      <c r="H283" s="12"/>
      <c r="I283" s="11"/>
      <c r="J283" s="11"/>
      <c r="K283" s="11" t="s">
        <v>899</v>
      </c>
      <c r="L283" s="11" t="s">
        <v>900</v>
      </c>
      <c r="M283" s="12" t="s">
        <v>420</v>
      </c>
      <c r="N283" s="12" t="s">
        <v>420</v>
      </c>
      <c r="O283" s="12" t="s">
        <v>420</v>
      </c>
      <c r="P283" s="11"/>
    </row>
    <row r="284" spans="1:16" x14ac:dyDescent="0.3">
      <c r="A284" s="11" t="s">
        <v>376</v>
      </c>
      <c r="B284" s="11" t="s">
        <v>377</v>
      </c>
      <c r="C284" s="11" t="s">
        <v>596</v>
      </c>
      <c r="D284" s="11" t="s">
        <v>596</v>
      </c>
      <c r="E284" s="11" t="s">
        <v>423</v>
      </c>
      <c r="F284" s="11" t="s">
        <v>554</v>
      </c>
      <c r="G284" s="12" t="s">
        <v>420</v>
      </c>
      <c r="H284" s="12"/>
      <c r="I284" s="11"/>
      <c r="J284" s="11"/>
      <c r="K284" s="11"/>
      <c r="L284" s="11" t="s">
        <v>901</v>
      </c>
      <c r="M284" s="12" t="s">
        <v>420</v>
      </c>
      <c r="N284" s="12" t="s">
        <v>420</v>
      </c>
      <c r="O284" s="12" t="s">
        <v>420</v>
      </c>
      <c r="P284" s="11"/>
    </row>
    <row r="285" spans="1:16" x14ac:dyDescent="0.3">
      <c r="A285" s="11" t="s">
        <v>376</v>
      </c>
      <c r="B285" s="11" t="s">
        <v>377</v>
      </c>
      <c r="C285" s="11" t="s">
        <v>902</v>
      </c>
      <c r="D285" s="11" t="s">
        <v>902</v>
      </c>
      <c r="E285" s="11" t="s">
        <v>423</v>
      </c>
      <c r="F285" s="11" t="s">
        <v>512</v>
      </c>
      <c r="G285" s="12" t="s">
        <v>417</v>
      </c>
      <c r="H285" s="12"/>
      <c r="I285" s="11"/>
      <c r="J285" s="11"/>
      <c r="K285" s="11"/>
      <c r="L285" s="11" t="s">
        <v>903</v>
      </c>
      <c r="M285" s="12" t="s">
        <v>420</v>
      </c>
      <c r="N285" s="12" t="s">
        <v>420</v>
      </c>
      <c r="O285" s="12" t="s">
        <v>420</v>
      </c>
      <c r="P285" s="11"/>
    </row>
    <row r="286" spans="1:16" x14ac:dyDescent="0.3">
      <c r="A286" s="11" t="s">
        <v>376</v>
      </c>
      <c r="B286" s="11" t="s">
        <v>377</v>
      </c>
      <c r="C286" s="11" t="s">
        <v>904</v>
      </c>
      <c r="D286" s="11" t="s">
        <v>905</v>
      </c>
      <c r="E286" s="11" t="s">
        <v>583</v>
      </c>
      <c r="F286" s="11" t="s">
        <v>584</v>
      </c>
      <c r="G286" s="12" t="s">
        <v>417</v>
      </c>
      <c r="H286" s="12"/>
      <c r="I286" s="11"/>
      <c r="J286" s="11" t="s">
        <v>585</v>
      </c>
      <c r="K286" s="11"/>
      <c r="L286" s="11"/>
      <c r="M286" s="12"/>
      <c r="N286" s="12"/>
      <c r="O286" s="12" t="s">
        <v>420</v>
      </c>
      <c r="P286" s="11"/>
    </row>
    <row r="287" spans="1:16" x14ac:dyDescent="0.3">
      <c r="A287" s="11" t="s">
        <v>376</v>
      </c>
      <c r="B287" s="11" t="s">
        <v>377</v>
      </c>
      <c r="C287" s="11" t="s">
        <v>452</v>
      </c>
      <c r="D287" s="11" t="s">
        <v>452</v>
      </c>
      <c r="E287" s="11" t="s">
        <v>906</v>
      </c>
      <c r="F287" s="11" t="s">
        <v>449</v>
      </c>
      <c r="G287" s="12" t="s">
        <v>417</v>
      </c>
      <c r="H287" s="12"/>
      <c r="I287" s="11"/>
      <c r="J287" s="11" t="s">
        <v>907</v>
      </c>
      <c r="K287" s="11"/>
      <c r="L287" s="11"/>
      <c r="M287" s="12"/>
      <c r="N287" s="12"/>
      <c r="O287" s="12" t="s">
        <v>420</v>
      </c>
      <c r="P287" s="11"/>
    </row>
    <row r="288" spans="1:16" x14ac:dyDescent="0.3">
      <c r="A288" s="11" t="s">
        <v>376</v>
      </c>
      <c r="B288" s="11" t="s">
        <v>377</v>
      </c>
      <c r="C288" s="11" t="s">
        <v>908</v>
      </c>
      <c r="D288" s="11" t="s">
        <v>909</v>
      </c>
      <c r="E288" s="11" t="s">
        <v>423</v>
      </c>
      <c r="F288" s="11" t="s">
        <v>512</v>
      </c>
      <c r="G288" s="12" t="s">
        <v>420</v>
      </c>
      <c r="H288" s="12"/>
      <c r="I288" s="11"/>
      <c r="J288" s="11"/>
      <c r="K288" s="11"/>
      <c r="L288" s="11"/>
      <c r="M288" s="12"/>
      <c r="N288" s="12"/>
      <c r="O288" s="12" t="s">
        <v>420</v>
      </c>
      <c r="P288" s="11" t="s">
        <v>910</v>
      </c>
    </row>
    <row r="289" spans="1:16" x14ac:dyDescent="0.3">
      <c r="A289" s="11" t="s">
        <v>376</v>
      </c>
      <c r="B289" s="11" t="s">
        <v>377</v>
      </c>
      <c r="C289" s="11" t="s">
        <v>911</v>
      </c>
      <c r="D289" s="11" t="s">
        <v>912</v>
      </c>
      <c r="E289" s="11" t="s">
        <v>477</v>
      </c>
      <c r="F289" s="11" t="s">
        <v>478</v>
      </c>
      <c r="G289" s="12" t="s">
        <v>420</v>
      </c>
      <c r="H289" s="12"/>
      <c r="I289" s="11"/>
      <c r="J289" s="11"/>
      <c r="K289" s="11"/>
      <c r="L289" s="11"/>
      <c r="M289" s="12"/>
      <c r="N289" s="12"/>
      <c r="O289" s="12" t="s">
        <v>420</v>
      </c>
      <c r="P289" s="11"/>
    </row>
    <row r="290" spans="1:16" x14ac:dyDescent="0.3">
      <c r="A290" s="11" t="s">
        <v>376</v>
      </c>
      <c r="B290" s="11" t="s">
        <v>377</v>
      </c>
      <c r="C290" s="11" t="s">
        <v>479</v>
      </c>
      <c r="D290" s="11" t="s">
        <v>480</v>
      </c>
      <c r="E290" s="11" t="s">
        <v>477</v>
      </c>
      <c r="F290" s="11" t="s">
        <v>478</v>
      </c>
      <c r="G290" s="12" t="s">
        <v>417</v>
      </c>
      <c r="H290" s="12"/>
      <c r="I290" s="11"/>
      <c r="J290" s="11" t="s">
        <v>481</v>
      </c>
      <c r="K290" s="11"/>
      <c r="L290" s="11" t="s">
        <v>482</v>
      </c>
      <c r="M290" s="12"/>
      <c r="N290" s="12"/>
      <c r="O290" s="12" t="s">
        <v>420</v>
      </c>
      <c r="P290" s="11" t="s">
        <v>483</v>
      </c>
    </row>
    <row r="291" spans="1:16" x14ac:dyDescent="0.3">
      <c r="A291" s="11" t="s">
        <v>376</v>
      </c>
      <c r="B291" s="11" t="s">
        <v>377</v>
      </c>
      <c r="C291" s="11" t="s">
        <v>484</v>
      </c>
      <c r="D291" s="11" t="s">
        <v>485</v>
      </c>
      <c r="E291" s="11" t="s">
        <v>477</v>
      </c>
      <c r="F291" s="11" t="s">
        <v>478</v>
      </c>
      <c r="G291" s="12" t="s">
        <v>417</v>
      </c>
      <c r="H291" s="12"/>
      <c r="I291" s="11"/>
      <c r="J291" s="11" t="s">
        <v>481</v>
      </c>
      <c r="K291" s="11"/>
      <c r="L291" s="11" t="s">
        <v>482</v>
      </c>
      <c r="M291" s="12"/>
      <c r="N291" s="12"/>
      <c r="O291" s="12" t="s">
        <v>420</v>
      </c>
      <c r="P291" s="11" t="s">
        <v>486</v>
      </c>
    </row>
    <row r="292" spans="1:16" ht="26.4" x14ac:dyDescent="0.3">
      <c r="A292" s="10" t="s">
        <v>380</v>
      </c>
      <c r="B292" s="10" t="s">
        <v>381</v>
      </c>
      <c r="C292" s="10" t="s">
        <v>414</v>
      </c>
      <c r="D292" s="10" t="s">
        <v>414</v>
      </c>
      <c r="E292" s="10" t="s">
        <v>415</v>
      </c>
      <c r="F292" s="10" t="s">
        <v>416</v>
      </c>
      <c r="G292" s="13" t="s">
        <v>417</v>
      </c>
      <c r="H292" s="13" t="s">
        <v>418</v>
      </c>
      <c r="I292" s="10"/>
      <c r="J292" s="10" t="s">
        <v>419</v>
      </c>
      <c r="K292" s="10"/>
      <c r="L292" s="10"/>
      <c r="M292" s="13"/>
      <c r="N292" s="13"/>
      <c r="O292" s="13" t="s">
        <v>420</v>
      </c>
      <c r="P292" s="10" t="s">
        <v>421</v>
      </c>
    </row>
    <row r="293" spans="1:16" x14ac:dyDescent="0.3">
      <c r="A293" s="10" t="s">
        <v>380</v>
      </c>
      <c r="B293" s="10" t="s">
        <v>381</v>
      </c>
      <c r="C293" s="10" t="s">
        <v>913</v>
      </c>
      <c r="D293" s="10" t="s">
        <v>914</v>
      </c>
      <c r="E293" s="10" t="s">
        <v>376</v>
      </c>
      <c r="F293" s="10" t="s">
        <v>416</v>
      </c>
      <c r="G293" s="13" t="s">
        <v>417</v>
      </c>
      <c r="H293" s="13" t="s">
        <v>489</v>
      </c>
      <c r="I293" s="10" t="s">
        <v>915</v>
      </c>
      <c r="J293" s="10"/>
      <c r="K293" s="10"/>
      <c r="L293" s="10"/>
      <c r="M293" s="13"/>
      <c r="N293" s="13"/>
      <c r="O293" s="13" t="s">
        <v>420</v>
      </c>
      <c r="P293" s="10"/>
    </row>
    <row r="294" spans="1:16" x14ac:dyDescent="0.3">
      <c r="A294" s="10" t="s">
        <v>380</v>
      </c>
      <c r="B294" s="10" t="s">
        <v>381</v>
      </c>
      <c r="C294" s="10" t="s">
        <v>487</v>
      </c>
      <c r="D294" s="10" t="s">
        <v>488</v>
      </c>
      <c r="E294" s="10" t="s">
        <v>298</v>
      </c>
      <c r="F294" s="10" t="s">
        <v>416</v>
      </c>
      <c r="G294" s="13" t="s">
        <v>417</v>
      </c>
      <c r="H294" s="13" t="s">
        <v>489</v>
      </c>
      <c r="I294" s="10" t="s">
        <v>490</v>
      </c>
      <c r="J294" s="10"/>
      <c r="K294" s="10"/>
      <c r="L294" s="10"/>
      <c r="M294" s="13"/>
      <c r="N294" s="13"/>
      <c r="O294" s="13" t="s">
        <v>420</v>
      </c>
      <c r="P294" s="10"/>
    </row>
    <row r="295" spans="1:16" x14ac:dyDescent="0.3">
      <c r="A295" s="10" t="s">
        <v>380</v>
      </c>
      <c r="B295" s="10" t="s">
        <v>381</v>
      </c>
      <c r="C295" s="10" t="s">
        <v>479</v>
      </c>
      <c r="D295" s="10" t="s">
        <v>480</v>
      </c>
      <c r="E295" s="10" t="s">
        <v>477</v>
      </c>
      <c r="F295" s="10" t="s">
        <v>478</v>
      </c>
      <c r="G295" s="13" t="s">
        <v>417</v>
      </c>
      <c r="H295" s="13"/>
      <c r="I295" s="10"/>
      <c r="J295" s="10" t="s">
        <v>481</v>
      </c>
      <c r="K295" s="10"/>
      <c r="L295" s="10" t="s">
        <v>482</v>
      </c>
      <c r="M295" s="13"/>
      <c r="N295" s="13"/>
      <c r="O295" s="13" t="s">
        <v>420</v>
      </c>
      <c r="P295" s="10" t="s">
        <v>483</v>
      </c>
    </row>
    <row r="296" spans="1:16" ht="26.4" x14ac:dyDescent="0.3">
      <c r="A296" s="11" t="s">
        <v>383</v>
      </c>
      <c r="B296" s="11" t="s">
        <v>384</v>
      </c>
      <c r="C296" s="11" t="s">
        <v>414</v>
      </c>
      <c r="D296" s="11" t="s">
        <v>414</v>
      </c>
      <c r="E296" s="11" t="s">
        <v>415</v>
      </c>
      <c r="F296" s="11" t="s">
        <v>416</v>
      </c>
      <c r="G296" s="12" t="s">
        <v>417</v>
      </c>
      <c r="H296" s="12" t="s">
        <v>418</v>
      </c>
      <c r="I296" s="11"/>
      <c r="J296" s="11" t="s">
        <v>419</v>
      </c>
      <c r="K296" s="11"/>
      <c r="L296" s="11"/>
      <c r="M296" s="12"/>
      <c r="N296" s="12"/>
      <c r="O296" s="12" t="s">
        <v>420</v>
      </c>
      <c r="P296" s="11" t="s">
        <v>421</v>
      </c>
    </row>
    <row r="297" spans="1:16" x14ac:dyDescent="0.3">
      <c r="A297" s="11" t="s">
        <v>383</v>
      </c>
      <c r="B297" s="11" t="s">
        <v>384</v>
      </c>
      <c r="C297" s="11" t="s">
        <v>913</v>
      </c>
      <c r="D297" s="11" t="s">
        <v>914</v>
      </c>
      <c r="E297" s="11" t="s">
        <v>376</v>
      </c>
      <c r="F297" s="11" t="s">
        <v>416</v>
      </c>
      <c r="G297" s="12" t="s">
        <v>417</v>
      </c>
      <c r="H297" s="12" t="s">
        <v>489</v>
      </c>
      <c r="I297" s="11" t="s">
        <v>915</v>
      </c>
      <c r="J297" s="11"/>
      <c r="K297" s="11"/>
      <c r="L297" s="11"/>
      <c r="M297" s="12"/>
      <c r="N297" s="12"/>
      <c r="O297" s="12" t="s">
        <v>420</v>
      </c>
      <c r="P297" s="11"/>
    </row>
    <row r="298" spans="1:16" x14ac:dyDescent="0.3">
      <c r="A298" s="11" t="s">
        <v>383</v>
      </c>
      <c r="B298" s="11" t="s">
        <v>384</v>
      </c>
      <c r="C298" s="11" t="s">
        <v>916</v>
      </c>
      <c r="D298" s="11" t="s">
        <v>917</v>
      </c>
      <c r="E298" s="11" t="s">
        <v>298</v>
      </c>
      <c r="F298" s="11" t="s">
        <v>416</v>
      </c>
      <c r="G298" s="12" t="s">
        <v>417</v>
      </c>
      <c r="H298" s="12" t="s">
        <v>489</v>
      </c>
      <c r="I298" s="11" t="s">
        <v>490</v>
      </c>
      <c r="J298" s="11"/>
      <c r="K298" s="11"/>
      <c r="L298" s="11"/>
      <c r="M298" s="12"/>
      <c r="N298" s="12"/>
      <c r="O298" s="12" t="s">
        <v>420</v>
      </c>
      <c r="P298" s="11"/>
    </row>
    <row r="299" spans="1:16" x14ac:dyDescent="0.3">
      <c r="A299" s="11" t="s">
        <v>383</v>
      </c>
      <c r="B299" s="11" t="s">
        <v>384</v>
      </c>
      <c r="C299" s="11" t="s">
        <v>732</v>
      </c>
      <c r="D299" s="11" t="s">
        <v>732</v>
      </c>
      <c r="E299" s="11" t="s">
        <v>918</v>
      </c>
      <c r="F299" s="11" t="s">
        <v>449</v>
      </c>
      <c r="G299" s="12" t="s">
        <v>417</v>
      </c>
      <c r="H299" s="12"/>
      <c r="I299" s="11"/>
      <c r="J299" s="11"/>
      <c r="K299" s="11"/>
      <c r="L299" s="11"/>
      <c r="M299" s="12" t="s">
        <v>420</v>
      </c>
      <c r="N299" s="12"/>
      <c r="O299" s="12" t="s">
        <v>420</v>
      </c>
      <c r="P299" s="11"/>
    </row>
    <row r="300" spans="1:16" x14ac:dyDescent="0.3">
      <c r="A300" s="11" t="s">
        <v>383</v>
      </c>
      <c r="B300" s="11" t="s">
        <v>384</v>
      </c>
      <c r="C300" s="11" t="s">
        <v>919</v>
      </c>
      <c r="D300" s="11" t="s">
        <v>919</v>
      </c>
      <c r="E300" s="11" t="s">
        <v>423</v>
      </c>
      <c r="F300" s="11" t="s">
        <v>473</v>
      </c>
      <c r="G300" s="12" t="s">
        <v>420</v>
      </c>
      <c r="H300" s="12"/>
      <c r="I300" s="11"/>
      <c r="J300" s="11"/>
      <c r="K300" s="11"/>
      <c r="L300" s="11" t="s">
        <v>920</v>
      </c>
      <c r="M300" s="12" t="s">
        <v>420</v>
      </c>
      <c r="N300" s="12"/>
      <c r="O300" s="12" t="s">
        <v>420</v>
      </c>
      <c r="P300" s="11"/>
    </row>
    <row r="301" spans="1:16" x14ac:dyDescent="0.3">
      <c r="A301" s="11" t="s">
        <v>383</v>
      </c>
      <c r="B301" s="11" t="s">
        <v>384</v>
      </c>
      <c r="C301" s="11" t="s">
        <v>452</v>
      </c>
      <c r="D301" s="11" t="s">
        <v>452</v>
      </c>
      <c r="E301" s="11" t="s">
        <v>921</v>
      </c>
      <c r="F301" s="11" t="s">
        <v>449</v>
      </c>
      <c r="G301" s="12" t="s">
        <v>417</v>
      </c>
      <c r="H301" s="12"/>
      <c r="I301" s="11"/>
      <c r="J301" s="11" t="s">
        <v>726</v>
      </c>
      <c r="K301" s="11"/>
      <c r="L301" s="11"/>
      <c r="M301" s="12"/>
      <c r="N301" s="12"/>
      <c r="O301" s="12" t="s">
        <v>420</v>
      </c>
      <c r="P301" s="11"/>
    </row>
    <row r="302" spans="1:16" x14ac:dyDescent="0.3">
      <c r="A302" s="11" t="s">
        <v>383</v>
      </c>
      <c r="B302" s="11" t="s">
        <v>384</v>
      </c>
      <c r="C302" s="11" t="s">
        <v>922</v>
      </c>
      <c r="D302" s="11" t="s">
        <v>923</v>
      </c>
      <c r="E302" s="11" t="s">
        <v>298</v>
      </c>
      <c r="F302" s="11" t="s">
        <v>416</v>
      </c>
      <c r="G302" s="12" t="s">
        <v>420</v>
      </c>
      <c r="H302" s="12" t="s">
        <v>489</v>
      </c>
      <c r="I302" s="11" t="s">
        <v>490</v>
      </c>
      <c r="J302" s="11"/>
      <c r="K302" s="11"/>
      <c r="L302" s="11"/>
      <c r="M302" s="12"/>
      <c r="N302" s="12"/>
      <c r="O302" s="12" t="s">
        <v>420</v>
      </c>
      <c r="P302" s="11"/>
    </row>
    <row r="303" spans="1:16" x14ac:dyDescent="0.3">
      <c r="A303" s="11" t="s">
        <v>383</v>
      </c>
      <c r="B303" s="11" t="s">
        <v>384</v>
      </c>
      <c r="C303" s="11" t="s">
        <v>924</v>
      </c>
      <c r="D303" s="11" t="s">
        <v>925</v>
      </c>
      <c r="E303" s="11" t="s">
        <v>477</v>
      </c>
      <c r="F303" s="11" t="s">
        <v>478</v>
      </c>
      <c r="G303" s="12" t="s">
        <v>420</v>
      </c>
      <c r="H303" s="12"/>
      <c r="I303" s="11"/>
      <c r="J303" s="11"/>
      <c r="K303" s="11"/>
      <c r="L303" s="11"/>
      <c r="M303" s="12"/>
      <c r="N303" s="12"/>
      <c r="O303" s="12" t="s">
        <v>420</v>
      </c>
      <c r="P303" s="11"/>
    </row>
    <row r="304" spans="1:16" x14ac:dyDescent="0.3">
      <c r="A304" s="11" t="s">
        <v>383</v>
      </c>
      <c r="B304" s="11" t="s">
        <v>384</v>
      </c>
      <c r="C304" s="11" t="s">
        <v>479</v>
      </c>
      <c r="D304" s="11" t="s">
        <v>480</v>
      </c>
      <c r="E304" s="11" t="s">
        <v>477</v>
      </c>
      <c r="F304" s="11" t="s">
        <v>478</v>
      </c>
      <c r="G304" s="12" t="s">
        <v>417</v>
      </c>
      <c r="H304" s="12"/>
      <c r="I304" s="11"/>
      <c r="J304" s="11" t="s">
        <v>481</v>
      </c>
      <c r="K304" s="11"/>
      <c r="L304" s="11" t="s">
        <v>482</v>
      </c>
      <c r="M304" s="12"/>
      <c r="N304" s="12"/>
      <c r="O304" s="12" t="s">
        <v>420</v>
      </c>
      <c r="P304" s="11" t="s">
        <v>483</v>
      </c>
    </row>
    <row r="305" spans="1:16" ht="26.4" x14ac:dyDescent="0.3">
      <c r="A305" s="10" t="s">
        <v>386</v>
      </c>
      <c r="B305" s="10" t="s">
        <v>387</v>
      </c>
      <c r="C305" s="10" t="s">
        <v>414</v>
      </c>
      <c r="D305" s="10" t="s">
        <v>414</v>
      </c>
      <c r="E305" s="10" t="s">
        <v>415</v>
      </c>
      <c r="F305" s="10" t="s">
        <v>416</v>
      </c>
      <c r="G305" s="13" t="s">
        <v>417</v>
      </c>
      <c r="H305" s="13" t="s">
        <v>418</v>
      </c>
      <c r="I305" s="10"/>
      <c r="J305" s="10" t="s">
        <v>419</v>
      </c>
      <c r="K305" s="10"/>
      <c r="L305" s="10"/>
      <c r="M305" s="13"/>
      <c r="N305" s="13"/>
      <c r="O305" s="13" t="s">
        <v>420</v>
      </c>
      <c r="P305" s="10" t="s">
        <v>421</v>
      </c>
    </row>
    <row r="306" spans="1:16" x14ac:dyDescent="0.3">
      <c r="A306" s="10" t="s">
        <v>386</v>
      </c>
      <c r="B306" s="10" t="s">
        <v>387</v>
      </c>
      <c r="C306" s="10" t="s">
        <v>487</v>
      </c>
      <c r="D306" s="10" t="s">
        <v>488</v>
      </c>
      <c r="E306" s="10" t="s">
        <v>298</v>
      </c>
      <c r="F306" s="10" t="s">
        <v>416</v>
      </c>
      <c r="G306" s="13" t="s">
        <v>417</v>
      </c>
      <c r="H306" s="13" t="s">
        <v>489</v>
      </c>
      <c r="I306" s="10" t="s">
        <v>490</v>
      </c>
      <c r="J306" s="10"/>
      <c r="K306" s="10"/>
      <c r="L306" s="10"/>
      <c r="M306" s="13"/>
      <c r="N306" s="13"/>
      <c r="O306" s="13" t="s">
        <v>420</v>
      </c>
      <c r="P306" s="10"/>
    </row>
    <row r="307" spans="1:16" x14ac:dyDescent="0.3">
      <c r="A307" s="10" t="s">
        <v>386</v>
      </c>
      <c r="B307" s="10" t="s">
        <v>387</v>
      </c>
      <c r="C307" s="10" t="s">
        <v>665</v>
      </c>
      <c r="D307" s="10" t="s">
        <v>666</v>
      </c>
      <c r="E307" s="10" t="s">
        <v>320</v>
      </c>
      <c r="F307" s="10" t="s">
        <v>416</v>
      </c>
      <c r="G307" s="13" t="s">
        <v>417</v>
      </c>
      <c r="H307" s="13" t="s">
        <v>489</v>
      </c>
      <c r="I307" s="10" t="s">
        <v>668</v>
      </c>
      <c r="J307" s="10"/>
      <c r="K307" s="10"/>
      <c r="L307" s="10"/>
      <c r="M307" s="13"/>
      <c r="N307" s="13"/>
      <c r="O307" s="13" t="s">
        <v>420</v>
      </c>
      <c r="P307" s="10"/>
    </row>
    <row r="308" spans="1:16" x14ac:dyDescent="0.3">
      <c r="A308" s="10" t="s">
        <v>386</v>
      </c>
      <c r="B308" s="10" t="s">
        <v>387</v>
      </c>
      <c r="C308" s="10" t="s">
        <v>479</v>
      </c>
      <c r="D308" s="10" t="s">
        <v>480</v>
      </c>
      <c r="E308" s="10" t="s">
        <v>477</v>
      </c>
      <c r="F308" s="10" t="s">
        <v>478</v>
      </c>
      <c r="G308" s="13" t="s">
        <v>417</v>
      </c>
      <c r="H308" s="13"/>
      <c r="I308" s="10"/>
      <c r="J308" s="10" t="s">
        <v>481</v>
      </c>
      <c r="K308" s="10"/>
      <c r="L308" s="10" t="s">
        <v>482</v>
      </c>
      <c r="M308" s="13"/>
      <c r="N308" s="13"/>
      <c r="O308" s="13" t="s">
        <v>420</v>
      </c>
      <c r="P308" s="10" t="s">
        <v>483</v>
      </c>
    </row>
    <row r="309" spans="1:16" ht="26.4" x14ac:dyDescent="0.3">
      <c r="A309" s="11" t="s">
        <v>389</v>
      </c>
      <c r="B309" s="11" t="s">
        <v>390</v>
      </c>
      <c r="C309" s="11" t="s">
        <v>414</v>
      </c>
      <c r="D309" s="11" t="s">
        <v>414</v>
      </c>
      <c r="E309" s="11" t="s">
        <v>415</v>
      </c>
      <c r="F309" s="11" t="s">
        <v>416</v>
      </c>
      <c r="G309" s="12" t="s">
        <v>417</v>
      </c>
      <c r="H309" s="12" t="s">
        <v>418</v>
      </c>
      <c r="I309" s="11"/>
      <c r="J309" s="11" t="s">
        <v>419</v>
      </c>
      <c r="K309" s="11"/>
      <c r="L309" s="11"/>
      <c r="M309" s="12"/>
      <c r="N309" s="12"/>
      <c r="O309" s="12" t="s">
        <v>420</v>
      </c>
      <c r="P309" s="11" t="s">
        <v>421</v>
      </c>
    </row>
    <row r="310" spans="1:16" x14ac:dyDescent="0.3">
      <c r="A310" s="11" t="s">
        <v>389</v>
      </c>
      <c r="B310" s="11" t="s">
        <v>390</v>
      </c>
      <c r="C310" s="11" t="s">
        <v>487</v>
      </c>
      <c r="D310" s="11" t="s">
        <v>488</v>
      </c>
      <c r="E310" s="11" t="s">
        <v>298</v>
      </c>
      <c r="F310" s="11" t="s">
        <v>416</v>
      </c>
      <c r="G310" s="12" t="s">
        <v>417</v>
      </c>
      <c r="H310" s="12" t="s">
        <v>489</v>
      </c>
      <c r="I310" s="11" t="s">
        <v>490</v>
      </c>
      <c r="J310" s="11"/>
      <c r="K310" s="11"/>
      <c r="L310" s="11"/>
      <c r="M310" s="12"/>
      <c r="N310" s="12"/>
      <c r="O310" s="12" t="s">
        <v>420</v>
      </c>
      <c r="P310" s="11"/>
    </row>
    <row r="311" spans="1:16" x14ac:dyDescent="0.3">
      <c r="A311" s="11" t="s">
        <v>389</v>
      </c>
      <c r="B311" s="11" t="s">
        <v>390</v>
      </c>
      <c r="C311" s="11" t="s">
        <v>494</v>
      </c>
      <c r="D311" s="11" t="s">
        <v>494</v>
      </c>
      <c r="E311" s="11" t="s">
        <v>926</v>
      </c>
      <c r="F311" s="11" t="s">
        <v>449</v>
      </c>
      <c r="G311" s="12" t="s">
        <v>417</v>
      </c>
      <c r="H311" s="12"/>
      <c r="I311" s="11"/>
      <c r="J311" s="11"/>
      <c r="K311" s="11"/>
      <c r="L311" s="11"/>
      <c r="M311" s="12"/>
      <c r="N311" s="12"/>
      <c r="O311" s="12" t="s">
        <v>420</v>
      </c>
      <c r="P311" s="11"/>
    </row>
    <row r="312" spans="1:16" x14ac:dyDescent="0.3">
      <c r="A312" s="11" t="s">
        <v>389</v>
      </c>
      <c r="B312" s="11" t="s">
        <v>390</v>
      </c>
      <c r="C312" s="11" t="s">
        <v>596</v>
      </c>
      <c r="D312" s="11" t="s">
        <v>596</v>
      </c>
      <c r="E312" s="11" t="s">
        <v>423</v>
      </c>
      <c r="F312" s="11" t="s">
        <v>554</v>
      </c>
      <c r="G312" s="12" t="s">
        <v>417</v>
      </c>
      <c r="H312" s="12"/>
      <c r="I312" s="11"/>
      <c r="J312" s="11"/>
      <c r="K312" s="11"/>
      <c r="L312" s="11"/>
      <c r="M312" s="12"/>
      <c r="N312" s="12"/>
      <c r="O312" s="12" t="s">
        <v>420</v>
      </c>
      <c r="P312" s="11"/>
    </row>
    <row r="313" spans="1:16" x14ac:dyDescent="0.3">
      <c r="A313" s="11" t="s">
        <v>389</v>
      </c>
      <c r="B313" s="11" t="s">
        <v>390</v>
      </c>
      <c r="C313" s="11" t="s">
        <v>927</v>
      </c>
      <c r="D313" s="11" t="s">
        <v>927</v>
      </c>
      <c r="E313" s="11" t="s">
        <v>423</v>
      </c>
      <c r="F313" s="11" t="s">
        <v>764</v>
      </c>
      <c r="G313" s="12" t="s">
        <v>417</v>
      </c>
      <c r="H313" s="12"/>
      <c r="I313" s="11"/>
      <c r="J313" s="11"/>
      <c r="K313" s="11"/>
      <c r="L313" s="11"/>
      <c r="M313" s="12"/>
      <c r="N313" s="12"/>
      <c r="O313" s="12" t="s">
        <v>420</v>
      </c>
      <c r="P313" s="11"/>
    </row>
    <row r="314" spans="1:16" x14ac:dyDescent="0.3">
      <c r="A314" s="11" t="s">
        <v>389</v>
      </c>
      <c r="B314" s="11" t="s">
        <v>390</v>
      </c>
      <c r="C314" s="11" t="s">
        <v>928</v>
      </c>
      <c r="D314" s="11" t="s">
        <v>929</v>
      </c>
      <c r="E314" s="11" t="s">
        <v>423</v>
      </c>
      <c r="F314" s="11" t="s">
        <v>449</v>
      </c>
      <c r="G314" s="12" t="s">
        <v>420</v>
      </c>
      <c r="H314" s="12"/>
      <c r="I314" s="11"/>
      <c r="J314" s="11"/>
      <c r="K314" s="11"/>
      <c r="L314" s="11"/>
      <c r="M314" s="12"/>
      <c r="N314" s="12"/>
      <c r="O314" s="12" t="s">
        <v>420</v>
      </c>
      <c r="P314" s="11" t="s">
        <v>930</v>
      </c>
    </row>
    <row r="315" spans="1:16" x14ac:dyDescent="0.3">
      <c r="A315" s="11" t="s">
        <v>389</v>
      </c>
      <c r="B315" s="11" t="s">
        <v>390</v>
      </c>
      <c r="C315" s="11" t="s">
        <v>931</v>
      </c>
      <c r="D315" s="11" t="s">
        <v>932</v>
      </c>
      <c r="E315" s="11" t="s">
        <v>415</v>
      </c>
      <c r="F315" s="11" t="s">
        <v>416</v>
      </c>
      <c r="G315" s="12" t="s">
        <v>420</v>
      </c>
      <c r="H315" s="12"/>
      <c r="I315" s="11"/>
      <c r="J315" s="11"/>
      <c r="K315" s="11"/>
      <c r="L315" s="11"/>
      <c r="M315" s="12"/>
      <c r="N315" s="12"/>
      <c r="O315" s="12" t="s">
        <v>420</v>
      </c>
      <c r="P315" s="11"/>
    </row>
    <row r="316" spans="1:16" x14ac:dyDescent="0.3">
      <c r="A316" s="11" t="s">
        <v>389</v>
      </c>
      <c r="B316" s="11" t="s">
        <v>390</v>
      </c>
      <c r="C316" s="11" t="s">
        <v>933</v>
      </c>
      <c r="D316" s="11" t="s">
        <v>934</v>
      </c>
      <c r="E316" s="11" t="s">
        <v>458</v>
      </c>
      <c r="F316" s="11" t="s">
        <v>459</v>
      </c>
      <c r="G316" s="12" t="s">
        <v>417</v>
      </c>
      <c r="H316" s="12"/>
      <c r="I316" s="11"/>
      <c r="J316" s="11" t="s">
        <v>460</v>
      </c>
      <c r="K316" s="11"/>
      <c r="L316" s="11"/>
      <c r="M316" s="12"/>
      <c r="N316" s="12"/>
      <c r="O316" s="12" t="s">
        <v>420</v>
      </c>
      <c r="P316" s="11" t="s">
        <v>935</v>
      </c>
    </row>
    <row r="317" spans="1:16" x14ac:dyDescent="0.3">
      <c r="A317" s="11" t="s">
        <v>389</v>
      </c>
      <c r="B317" s="11" t="s">
        <v>390</v>
      </c>
      <c r="C317" s="11" t="s">
        <v>936</v>
      </c>
      <c r="D317" s="11" t="s">
        <v>937</v>
      </c>
      <c r="E317" s="11" t="s">
        <v>477</v>
      </c>
      <c r="F317" s="11" t="s">
        <v>478</v>
      </c>
      <c r="G317" s="12" t="s">
        <v>420</v>
      </c>
      <c r="H317" s="12"/>
      <c r="I317" s="11"/>
      <c r="J317" s="11"/>
      <c r="K317" s="11"/>
      <c r="L317" s="11"/>
      <c r="M317" s="12"/>
      <c r="N317" s="12"/>
      <c r="O317" s="12" t="s">
        <v>420</v>
      </c>
      <c r="P317" s="11"/>
    </row>
    <row r="318" spans="1:16" x14ac:dyDescent="0.3">
      <c r="A318" s="11" t="s">
        <v>389</v>
      </c>
      <c r="B318" s="11" t="s">
        <v>390</v>
      </c>
      <c r="C318" s="11" t="s">
        <v>479</v>
      </c>
      <c r="D318" s="11" t="s">
        <v>480</v>
      </c>
      <c r="E318" s="11" t="s">
        <v>477</v>
      </c>
      <c r="F318" s="11" t="s">
        <v>478</v>
      </c>
      <c r="G318" s="12" t="s">
        <v>417</v>
      </c>
      <c r="H318" s="12"/>
      <c r="I318" s="11"/>
      <c r="J318" s="11" t="s">
        <v>481</v>
      </c>
      <c r="K318" s="11"/>
      <c r="L318" s="11" t="s">
        <v>482</v>
      </c>
      <c r="M318" s="12"/>
      <c r="N318" s="12"/>
      <c r="O318" s="12" t="s">
        <v>420</v>
      </c>
      <c r="P318" s="11" t="s">
        <v>483</v>
      </c>
    </row>
    <row r="319" spans="1:16" ht="26.4" x14ac:dyDescent="0.3">
      <c r="A319" s="10" t="s">
        <v>392</v>
      </c>
      <c r="B319" s="10" t="s">
        <v>393</v>
      </c>
      <c r="C319" s="10" t="s">
        <v>414</v>
      </c>
      <c r="D319" s="10" t="s">
        <v>414</v>
      </c>
      <c r="E319" s="10" t="s">
        <v>415</v>
      </c>
      <c r="F319" s="10" t="s">
        <v>416</v>
      </c>
      <c r="G319" s="13" t="s">
        <v>417</v>
      </c>
      <c r="H319" s="13" t="s">
        <v>418</v>
      </c>
      <c r="I319" s="10"/>
      <c r="J319" s="10" t="s">
        <v>419</v>
      </c>
      <c r="K319" s="10"/>
      <c r="L319" s="10"/>
      <c r="M319" s="13"/>
      <c r="N319" s="13"/>
      <c r="O319" s="13" t="s">
        <v>420</v>
      </c>
      <c r="P319" s="10" t="s">
        <v>421</v>
      </c>
    </row>
    <row r="320" spans="1:16" x14ac:dyDescent="0.3">
      <c r="A320" s="10" t="s">
        <v>392</v>
      </c>
      <c r="B320" s="10" t="s">
        <v>393</v>
      </c>
      <c r="C320" s="10" t="s">
        <v>487</v>
      </c>
      <c r="D320" s="10" t="s">
        <v>488</v>
      </c>
      <c r="E320" s="10" t="s">
        <v>298</v>
      </c>
      <c r="F320" s="10" t="s">
        <v>416</v>
      </c>
      <c r="G320" s="13" t="s">
        <v>417</v>
      </c>
      <c r="H320" s="13" t="s">
        <v>505</v>
      </c>
      <c r="I320" s="10" t="s">
        <v>490</v>
      </c>
      <c r="J320" s="10"/>
      <c r="K320" s="10"/>
      <c r="L320" s="10"/>
      <c r="M320" s="13"/>
      <c r="N320" s="13"/>
      <c r="O320" s="13" t="s">
        <v>420</v>
      </c>
      <c r="P320" s="10"/>
    </row>
    <row r="321" spans="1:16" x14ac:dyDescent="0.3">
      <c r="A321" s="10" t="s">
        <v>392</v>
      </c>
      <c r="B321" s="10" t="s">
        <v>393</v>
      </c>
      <c r="C321" s="10" t="s">
        <v>938</v>
      </c>
      <c r="D321" s="10" t="s">
        <v>939</v>
      </c>
      <c r="E321" s="10" t="s">
        <v>458</v>
      </c>
      <c r="F321" s="10" t="s">
        <v>459</v>
      </c>
      <c r="G321" s="13" t="s">
        <v>417</v>
      </c>
      <c r="H321" s="13"/>
      <c r="I321" s="10"/>
      <c r="J321" s="10" t="s">
        <v>573</v>
      </c>
      <c r="K321" s="10"/>
      <c r="L321" s="10"/>
      <c r="M321" s="13"/>
      <c r="N321" s="13" t="s">
        <v>420</v>
      </c>
      <c r="O321" s="13" t="s">
        <v>420</v>
      </c>
      <c r="P321" s="10"/>
    </row>
    <row r="322" spans="1:16" x14ac:dyDescent="0.3">
      <c r="A322" s="10" t="s">
        <v>392</v>
      </c>
      <c r="B322" s="10" t="s">
        <v>393</v>
      </c>
      <c r="C322" s="10" t="s">
        <v>940</v>
      </c>
      <c r="D322" s="10" t="s">
        <v>941</v>
      </c>
      <c r="E322" s="10" t="s">
        <v>458</v>
      </c>
      <c r="F322" s="10" t="s">
        <v>459</v>
      </c>
      <c r="G322" s="13" t="s">
        <v>417</v>
      </c>
      <c r="H322" s="13"/>
      <c r="I322" s="10"/>
      <c r="J322" s="10" t="s">
        <v>573</v>
      </c>
      <c r="K322" s="10"/>
      <c r="L322" s="10"/>
      <c r="M322" s="13"/>
      <c r="N322" s="13" t="s">
        <v>420</v>
      </c>
      <c r="O322" s="13" t="s">
        <v>420</v>
      </c>
      <c r="P322" s="10"/>
    </row>
    <row r="323" spans="1:16" x14ac:dyDescent="0.3">
      <c r="A323" s="10" t="s">
        <v>392</v>
      </c>
      <c r="B323" s="10" t="s">
        <v>393</v>
      </c>
      <c r="C323" s="10" t="s">
        <v>942</v>
      </c>
      <c r="D323" s="10" t="s">
        <v>943</v>
      </c>
      <c r="E323" s="10" t="s">
        <v>458</v>
      </c>
      <c r="F323" s="10" t="s">
        <v>459</v>
      </c>
      <c r="G323" s="13" t="s">
        <v>417</v>
      </c>
      <c r="H323" s="13"/>
      <c r="I323" s="10"/>
      <c r="J323" s="10" t="s">
        <v>460</v>
      </c>
      <c r="K323" s="10"/>
      <c r="L323" s="10"/>
      <c r="M323" s="13"/>
      <c r="N323" s="13" t="s">
        <v>420</v>
      </c>
      <c r="O323" s="13" t="s">
        <v>420</v>
      </c>
      <c r="P323" s="10"/>
    </row>
    <row r="324" spans="1:16" x14ac:dyDescent="0.3">
      <c r="A324" s="10" t="s">
        <v>392</v>
      </c>
      <c r="B324" s="10" t="s">
        <v>393</v>
      </c>
      <c r="C324" s="10" t="s">
        <v>944</v>
      </c>
      <c r="D324" s="10" t="s">
        <v>945</v>
      </c>
      <c r="E324" s="10" t="s">
        <v>458</v>
      </c>
      <c r="F324" s="10" t="s">
        <v>459</v>
      </c>
      <c r="G324" s="13" t="s">
        <v>417</v>
      </c>
      <c r="H324" s="13"/>
      <c r="I324" s="10"/>
      <c r="J324" s="10" t="s">
        <v>460</v>
      </c>
      <c r="K324" s="10"/>
      <c r="L324" s="10"/>
      <c r="M324" s="13"/>
      <c r="N324" s="13" t="s">
        <v>420</v>
      </c>
      <c r="O324" s="13" t="s">
        <v>420</v>
      </c>
      <c r="P324" s="10"/>
    </row>
    <row r="325" spans="1:16" x14ac:dyDescent="0.3">
      <c r="A325" s="10" t="s">
        <v>392</v>
      </c>
      <c r="B325" s="10" t="s">
        <v>393</v>
      </c>
      <c r="C325" s="10" t="s">
        <v>479</v>
      </c>
      <c r="D325" s="10" t="s">
        <v>480</v>
      </c>
      <c r="E325" s="10" t="s">
        <v>477</v>
      </c>
      <c r="F325" s="10" t="s">
        <v>478</v>
      </c>
      <c r="G325" s="13" t="s">
        <v>417</v>
      </c>
      <c r="H325" s="13"/>
      <c r="I325" s="10"/>
      <c r="J325" s="10" t="s">
        <v>481</v>
      </c>
      <c r="K325" s="10"/>
      <c r="L325" s="10" t="s">
        <v>482</v>
      </c>
      <c r="M325" s="13"/>
      <c r="N325" s="13"/>
      <c r="O325" s="13" t="s">
        <v>420</v>
      </c>
      <c r="P325" s="10" t="s">
        <v>483</v>
      </c>
    </row>
    <row r="326" spans="1:16" x14ac:dyDescent="0.3">
      <c r="A326" s="10" t="s">
        <v>392</v>
      </c>
      <c r="B326" s="10" t="s">
        <v>393</v>
      </c>
      <c r="C326" s="10" t="s">
        <v>484</v>
      </c>
      <c r="D326" s="10" t="s">
        <v>485</v>
      </c>
      <c r="E326" s="10" t="s">
        <v>477</v>
      </c>
      <c r="F326" s="10" t="s">
        <v>478</v>
      </c>
      <c r="G326" s="13" t="s">
        <v>417</v>
      </c>
      <c r="H326" s="13"/>
      <c r="I326" s="10"/>
      <c r="J326" s="10" t="s">
        <v>481</v>
      </c>
      <c r="K326" s="10"/>
      <c r="L326" s="10" t="s">
        <v>482</v>
      </c>
      <c r="M326" s="13"/>
      <c r="N326" s="13"/>
      <c r="O326" s="13" t="s">
        <v>420</v>
      </c>
      <c r="P326" s="10" t="s">
        <v>486</v>
      </c>
    </row>
    <row r="327" spans="1:16" ht="26.4" x14ac:dyDescent="0.3">
      <c r="A327" s="11" t="s">
        <v>395</v>
      </c>
      <c r="B327" s="11" t="s">
        <v>396</v>
      </c>
      <c r="C327" s="11" t="s">
        <v>414</v>
      </c>
      <c r="D327" s="11" t="s">
        <v>414</v>
      </c>
      <c r="E327" s="11" t="s">
        <v>415</v>
      </c>
      <c r="F327" s="11" t="s">
        <v>416</v>
      </c>
      <c r="G327" s="12" t="s">
        <v>417</v>
      </c>
      <c r="H327" s="12" t="s">
        <v>418</v>
      </c>
      <c r="I327" s="11"/>
      <c r="J327" s="11" t="s">
        <v>419</v>
      </c>
      <c r="K327" s="11"/>
      <c r="L327" s="11"/>
      <c r="M327" s="12"/>
      <c r="N327" s="12"/>
      <c r="O327" s="12" t="s">
        <v>420</v>
      </c>
      <c r="P327" s="11" t="s">
        <v>421</v>
      </c>
    </row>
    <row r="328" spans="1:16" x14ac:dyDescent="0.3">
      <c r="A328" s="11" t="s">
        <v>395</v>
      </c>
      <c r="B328" s="11" t="s">
        <v>396</v>
      </c>
      <c r="C328" s="11" t="s">
        <v>946</v>
      </c>
      <c r="D328" s="11" t="s">
        <v>947</v>
      </c>
      <c r="E328" s="11" t="s">
        <v>298</v>
      </c>
      <c r="F328" s="11" t="s">
        <v>416</v>
      </c>
      <c r="G328" s="12" t="s">
        <v>420</v>
      </c>
      <c r="H328" s="12" t="s">
        <v>489</v>
      </c>
      <c r="I328" s="11" t="s">
        <v>490</v>
      </c>
      <c r="J328" s="11"/>
      <c r="K328" s="11"/>
      <c r="L328" s="11"/>
      <c r="M328" s="12"/>
      <c r="N328" s="12"/>
      <c r="O328" s="12" t="s">
        <v>420</v>
      </c>
      <c r="P328" s="11" t="s">
        <v>948</v>
      </c>
    </row>
    <row r="329" spans="1:16" x14ac:dyDescent="0.3">
      <c r="A329" s="11" t="s">
        <v>395</v>
      </c>
      <c r="B329" s="11" t="s">
        <v>396</v>
      </c>
      <c r="C329" s="11" t="s">
        <v>949</v>
      </c>
      <c r="D329" s="11" t="s">
        <v>949</v>
      </c>
      <c r="E329" s="11" t="s">
        <v>423</v>
      </c>
      <c r="F329" s="11" t="s">
        <v>434</v>
      </c>
      <c r="G329" s="12" t="s">
        <v>417</v>
      </c>
      <c r="H329" s="12"/>
      <c r="I329" s="11"/>
      <c r="J329" s="11"/>
      <c r="K329" s="11"/>
      <c r="L329" s="11"/>
      <c r="M329" s="12"/>
      <c r="N329" s="12"/>
      <c r="O329" s="12" t="s">
        <v>420</v>
      </c>
      <c r="P329" s="11" t="s">
        <v>950</v>
      </c>
    </row>
    <row r="330" spans="1:16" x14ac:dyDescent="0.3">
      <c r="A330" s="11" t="s">
        <v>395</v>
      </c>
      <c r="B330" s="11" t="s">
        <v>396</v>
      </c>
      <c r="C330" s="11" t="s">
        <v>951</v>
      </c>
      <c r="D330" s="11" t="s">
        <v>952</v>
      </c>
      <c r="E330" s="11" t="s">
        <v>423</v>
      </c>
      <c r="F330" s="11" t="s">
        <v>524</v>
      </c>
      <c r="G330" s="12" t="s">
        <v>417</v>
      </c>
      <c r="H330" s="12"/>
      <c r="I330" s="11"/>
      <c r="J330" s="11"/>
      <c r="K330" s="11"/>
      <c r="L330" s="11"/>
      <c r="M330" s="12"/>
      <c r="N330" s="12"/>
      <c r="O330" s="12" t="s">
        <v>420</v>
      </c>
      <c r="P330" s="11"/>
    </row>
    <row r="331" spans="1:16" x14ac:dyDescent="0.3">
      <c r="A331" s="11" t="s">
        <v>395</v>
      </c>
      <c r="B331" s="11" t="s">
        <v>396</v>
      </c>
      <c r="C331" s="11" t="s">
        <v>953</v>
      </c>
      <c r="D331" s="11" t="s">
        <v>954</v>
      </c>
      <c r="E331" s="11" t="s">
        <v>415</v>
      </c>
      <c r="F331" s="11" t="s">
        <v>416</v>
      </c>
      <c r="G331" s="12" t="s">
        <v>420</v>
      </c>
      <c r="H331" s="12"/>
      <c r="I331" s="11"/>
      <c r="J331" s="11"/>
      <c r="K331" s="11"/>
      <c r="L331" s="11"/>
      <c r="M331" s="12"/>
      <c r="N331" s="12"/>
      <c r="O331" s="12" t="s">
        <v>420</v>
      </c>
      <c r="P331" s="11"/>
    </row>
    <row r="332" spans="1:16" x14ac:dyDescent="0.3">
      <c r="A332" s="11" t="s">
        <v>395</v>
      </c>
      <c r="B332" s="11" t="s">
        <v>396</v>
      </c>
      <c r="C332" s="11" t="s">
        <v>955</v>
      </c>
      <c r="D332" s="11" t="s">
        <v>956</v>
      </c>
      <c r="E332" s="11" t="s">
        <v>423</v>
      </c>
      <c r="F332" s="11" t="s">
        <v>512</v>
      </c>
      <c r="G332" s="12" t="s">
        <v>420</v>
      </c>
      <c r="H332" s="12"/>
      <c r="I332" s="11"/>
      <c r="J332" s="11"/>
      <c r="K332" s="11"/>
      <c r="L332" s="11"/>
      <c r="M332" s="12"/>
      <c r="N332" s="12"/>
      <c r="O332" s="12" t="s">
        <v>420</v>
      </c>
      <c r="P332" s="11" t="s">
        <v>957</v>
      </c>
    </row>
    <row r="333" spans="1:16" x14ac:dyDescent="0.3">
      <c r="A333" s="11" t="s">
        <v>395</v>
      </c>
      <c r="B333" s="11" t="s">
        <v>396</v>
      </c>
      <c r="C333" s="11" t="s">
        <v>958</v>
      </c>
      <c r="D333" s="11" t="s">
        <v>959</v>
      </c>
      <c r="E333" s="11" t="s">
        <v>423</v>
      </c>
      <c r="F333" s="11" t="s">
        <v>512</v>
      </c>
      <c r="G333" s="12" t="s">
        <v>420</v>
      </c>
      <c r="H333" s="12"/>
      <c r="I333" s="11"/>
      <c r="J333" s="11"/>
      <c r="K333" s="11"/>
      <c r="L333" s="11"/>
      <c r="M333" s="12"/>
      <c r="N333" s="12"/>
      <c r="O333" s="12" t="s">
        <v>420</v>
      </c>
      <c r="P333" s="11" t="s">
        <v>957</v>
      </c>
    </row>
    <row r="334" spans="1:16" x14ac:dyDescent="0.3">
      <c r="A334" s="11" t="s">
        <v>395</v>
      </c>
      <c r="B334" s="11" t="s">
        <v>396</v>
      </c>
      <c r="C334" s="11" t="s">
        <v>960</v>
      </c>
      <c r="D334" s="11" t="s">
        <v>961</v>
      </c>
      <c r="E334" s="11" t="s">
        <v>423</v>
      </c>
      <c r="F334" s="11" t="s">
        <v>962</v>
      </c>
      <c r="G334" s="12" t="s">
        <v>420</v>
      </c>
      <c r="H334" s="12"/>
      <c r="I334" s="11"/>
      <c r="J334" s="11"/>
      <c r="K334" s="11"/>
      <c r="L334" s="11"/>
      <c r="M334" s="12"/>
      <c r="N334" s="12"/>
      <c r="O334" s="12" t="s">
        <v>420</v>
      </c>
      <c r="P334" s="11"/>
    </row>
    <row r="335" spans="1:16" x14ac:dyDescent="0.3">
      <c r="A335" s="11" t="s">
        <v>395</v>
      </c>
      <c r="B335" s="11" t="s">
        <v>396</v>
      </c>
      <c r="C335" s="11" t="s">
        <v>963</v>
      </c>
      <c r="D335" s="11" t="s">
        <v>964</v>
      </c>
      <c r="E335" s="11" t="s">
        <v>423</v>
      </c>
      <c r="F335" s="11" t="s">
        <v>503</v>
      </c>
      <c r="G335" s="12" t="s">
        <v>420</v>
      </c>
      <c r="H335" s="12"/>
      <c r="I335" s="11"/>
      <c r="J335" s="11"/>
      <c r="K335" s="11"/>
      <c r="L335" s="11"/>
      <c r="M335" s="12"/>
      <c r="N335" s="12"/>
      <c r="O335" s="12" t="s">
        <v>420</v>
      </c>
      <c r="P335" s="11"/>
    </row>
    <row r="336" spans="1:16" x14ac:dyDescent="0.3">
      <c r="A336" s="11" t="s">
        <v>395</v>
      </c>
      <c r="B336" s="11" t="s">
        <v>396</v>
      </c>
      <c r="C336" s="11" t="s">
        <v>479</v>
      </c>
      <c r="D336" s="11" t="s">
        <v>480</v>
      </c>
      <c r="E336" s="11" t="s">
        <v>477</v>
      </c>
      <c r="F336" s="11" t="s">
        <v>478</v>
      </c>
      <c r="G336" s="12" t="s">
        <v>417</v>
      </c>
      <c r="H336" s="12"/>
      <c r="I336" s="11"/>
      <c r="J336" s="11" t="s">
        <v>481</v>
      </c>
      <c r="K336" s="11"/>
      <c r="L336" s="11" t="s">
        <v>482</v>
      </c>
      <c r="M336" s="12"/>
      <c r="N336" s="12"/>
      <c r="O336" s="12" t="s">
        <v>420</v>
      </c>
      <c r="P336" s="11" t="s">
        <v>483</v>
      </c>
    </row>
  </sheetData>
  <autoFilter ref="A1:P33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zoomScaleNormal="100" workbookViewId="0">
      <pane ySplit="1" topLeftCell="A26" activePane="bottomLeft" state="frozen"/>
      <selection pane="bottomLeft" activeCell="F16" sqref="F16"/>
    </sheetView>
  </sheetViews>
  <sheetFormatPr defaultColWidth="8.6640625" defaultRowHeight="14.4" x14ac:dyDescent="0.3"/>
  <cols>
    <col min="1" max="1" width="20" customWidth="1"/>
    <col min="2" max="2" width="12" customWidth="1"/>
    <col min="3" max="3" width="24" customWidth="1"/>
    <col min="4" max="4" width="40" customWidth="1"/>
    <col min="5" max="5" width="24" customWidth="1"/>
    <col min="6" max="6" width="50" customWidth="1"/>
  </cols>
  <sheetData>
    <row r="1" spans="1:6" x14ac:dyDescent="0.3">
      <c r="A1" s="9" t="s">
        <v>965</v>
      </c>
      <c r="B1" s="9" t="s">
        <v>966</v>
      </c>
      <c r="C1" s="9" t="s">
        <v>967</v>
      </c>
      <c r="D1" s="9" t="s">
        <v>968</v>
      </c>
      <c r="E1" s="9" t="s">
        <v>969</v>
      </c>
      <c r="F1" s="9" t="s">
        <v>970</v>
      </c>
    </row>
    <row r="2" spans="1:6" x14ac:dyDescent="0.3">
      <c r="A2" s="10" t="s">
        <v>298</v>
      </c>
      <c r="B2" s="10" t="s">
        <v>971</v>
      </c>
      <c r="C2" s="10" t="s">
        <v>307</v>
      </c>
      <c r="D2" s="10" t="s">
        <v>972</v>
      </c>
      <c r="E2" s="10" t="s">
        <v>307</v>
      </c>
      <c r="F2" s="10" t="s">
        <v>973</v>
      </c>
    </row>
    <row r="3" spans="1:6" x14ac:dyDescent="0.3">
      <c r="A3" s="10" t="s">
        <v>298</v>
      </c>
      <c r="B3" s="10" t="s">
        <v>974</v>
      </c>
      <c r="C3" s="10" t="s">
        <v>301</v>
      </c>
      <c r="D3" s="10" t="s">
        <v>975</v>
      </c>
      <c r="E3" s="10" t="s">
        <v>301</v>
      </c>
      <c r="F3" s="10" t="s">
        <v>976</v>
      </c>
    </row>
    <row r="4" spans="1:6" x14ac:dyDescent="0.3">
      <c r="A4" s="10" t="s">
        <v>298</v>
      </c>
      <c r="B4" s="10" t="s">
        <v>974</v>
      </c>
      <c r="C4" s="10" t="s">
        <v>304</v>
      </c>
      <c r="D4" s="10" t="s">
        <v>977</v>
      </c>
      <c r="E4" s="10" t="s">
        <v>304</v>
      </c>
      <c r="F4" s="10" t="s">
        <v>976</v>
      </c>
    </row>
    <row r="5" spans="1:6" x14ac:dyDescent="0.3">
      <c r="A5" s="10" t="s">
        <v>298</v>
      </c>
      <c r="B5" s="10" t="s">
        <v>971</v>
      </c>
      <c r="C5" s="10" t="s">
        <v>95</v>
      </c>
      <c r="D5" s="10" t="s">
        <v>978</v>
      </c>
      <c r="E5" s="10" t="s">
        <v>95</v>
      </c>
      <c r="F5" s="10" t="s">
        <v>979</v>
      </c>
    </row>
    <row r="6" spans="1:6" x14ac:dyDescent="0.3">
      <c r="A6" s="10" t="s">
        <v>298</v>
      </c>
      <c r="B6" s="10" t="s">
        <v>974</v>
      </c>
      <c r="C6" s="10" t="s">
        <v>345</v>
      </c>
      <c r="D6" s="10" t="s">
        <v>980</v>
      </c>
      <c r="E6" s="10" t="s">
        <v>345</v>
      </c>
      <c r="F6" s="10" t="s">
        <v>981</v>
      </c>
    </row>
    <row r="7" spans="1:6" x14ac:dyDescent="0.3">
      <c r="A7" s="10" t="s">
        <v>298</v>
      </c>
      <c r="B7" s="10" t="s">
        <v>974</v>
      </c>
      <c r="C7" s="10" t="s">
        <v>376</v>
      </c>
      <c r="D7" s="10" t="s">
        <v>982</v>
      </c>
      <c r="E7" s="10" t="s">
        <v>376</v>
      </c>
      <c r="F7" s="10"/>
    </row>
    <row r="8" spans="1:6" x14ac:dyDescent="0.3">
      <c r="A8" s="10" t="s">
        <v>298</v>
      </c>
      <c r="B8" s="10" t="s">
        <v>974</v>
      </c>
      <c r="C8" s="10" t="s">
        <v>386</v>
      </c>
      <c r="D8" s="10" t="s">
        <v>983</v>
      </c>
      <c r="E8" s="10" t="s">
        <v>386</v>
      </c>
      <c r="F8" s="10"/>
    </row>
    <row r="9" spans="1:6" x14ac:dyDescent="0.3">
      <c r="A9" s="10" t="s">
        <v>298</v>
      </c>
      <c r="B9" s="10" t="s">
        <v>974</v>
      </c>
      <c r="C9" s="10" t="s">
        <v>389</v>
      </c>
      <c r="D9" s="10" t="s">
        <v>984</v>
      </c>
      <c r="E9" s="10" t="s">
        <v>389</v>
      </c>
      <c r="F9" s="10"/>
    </row>
    <row r="10" spans="1:6" x14ac:dyDescent="0.3">
      <c r="A10" s="10" t="s">
        <v>298</v>
      </c>
      <c r="B10" s="10" t="s">
        <v>971</v>
      </c>
      <c r="C10" s="10" t="s">
        <v>392</v>
      </c>
      <c r="D10" s="10" t="s">
        <v>985</v>
      </c>
      <c r="E10" s="10" t="s">
        <v>392</v>
      </c>
      <c r="F10" s="10" t="s">
        <v>986</v>
      </c>
    </row>
    <row r="11" spans="1:6" x14ac:dyDescent="0.3">
      <c r="A11" s="10" t="s">
        <v>298</v>
      </c>
      <c r="B11" s="10" t="s">
        <v>974</v>
      </c>
      <c r="C11" s="10" t="s">
        <v>395</v>
      </c>
      <c r="D11" s="10" t="s">
        <v>987</v>
      </c>
      <c r="E11" s="10" t="s">
        <v>395</v>
      </c>
      <c r="F11" s="10" t="s">
        <v>988</v>
      </c>
    </row>
    <row r="12" spans="1:6" x14ac:dyDescent="0.3">
      <c r="A12" s="10" t="s">
        <v>307</v>
      </c>
      <c r="B12" s="10" t="s">
        <v>974</v>
      </c>
      <c r="C12" s="10" t="s">
        <v>320</v>
      </c>
      <c r="D12" s="10" t="s">
        <v>989</v>
      </c>
      <c r="E12" s="10" t="s">
        <v>320</v>
      </c>
      <c r="F12" s="10"/>
    </row>
    <row r="13" spans="1:6" x14ac:dyDescent="0.3">
      <c r="A13" s="10" t="s">
        <v>307</v>
      </c>
      <c r="B13" s="10" t="s">
        <v>974</v>
      </c>
      <c r="C13" s="10" t="s">
        <v>345</v>
      </c>
      <c r="D13" s="10" t="s">
        <v>990</v>
      </c>
      <c r="E13" s="10" t="s">
        <v>345</v>
      </c>
      <c r="F13" s="10" t="s">
        <v>991</v>
      </c>
    </row>
    <row r="14" spans="1:6" x14ac:dyDescent="0.3">
      <c r="A14" s="10" t="s">
        <v>307</v>
      </c>
      <c r="B14" s="10" t="s">
        <v>974</v>
      </c>
      <c r="C14" s="10" t="s">
        <v>373</v>
      </c>
      <c r="D14" s="10" t="s">
        <v>992</v>
      </c>
      <c r="E14" s="10" t="s">
        <v>373</v>
      </c>
      <c r="F14" s="10"/>
    </row>
    <row r="15" spans="1:6" x14ac:dyDescent="0.3">
      <c r="A15" s="10" t="s">
        <v>310</v>
      </c>
      <c r="B15" s="10" t="s">
        <v>974</v>
      </c>
      <c r="C15" s="10" t="s">
        <v>320</v>
      </c>
      <c r="D15" s="10" t="s">
        <v>993</v>
      </c>
      <c r="E15" s="10" t="s">
        <v>320</v>
      </c>
      <c r="F15" s="10"/>
    </row>
    <row r="16" spans="1:6" x14ac:dyDescent="0.3">
      <c r="A16" s="10" t="s">
        <v>314</v>
      </c>
      <c r="B16" s="10" t="s">
        <v>974</v>
      </c>
      <c r="C16" s="10" t="s">
        <v>314</v>
      </c>
      <c r="D16" s="10" t="s">
        <v>994</v>
      </c>
      <c r="E16" s="10" t="s">
        <v>995</v>
      </c>
      <c r="F16" s="10" t="s">
        <v>996</v>
      </c>
    </row>
    <row r="17" spans="1:6" x14ac:dyDescent="0.3">
      <c r="A17" s="10" t="s">
        <v>320</v>
      </c>
      <c r="B17" s="10" t="s">
        <v>997</v>
      </c>
      <c r="C17" s="10" t="s">
        <v>314</v>
      </c>
      <c r="D17" s="10" t="s">
        <v>324</v>
      </c>
      <c r="E17" s="10" t="s">
        <v>320</v>
      </c>
      <c r="F17" s="10" t="s">
        <v>998</v>
      </c>
    </row>
    <row r="18" spans="1:6" x14ac:dyDescent="0.3">
      <c r="A18" s="10" t="s">
        <v>320</v>
      </c>
      <c r="B18" s="10" t="s">
        <v>997</v>
      </c>
      <c r="C18" s="10" t="s">
        <v>317</v>
      </c>
      <c r="D18" s="10" t="s">
        <v>327</v>
      </c>
      <c r="E18" s="10" t="s">
        <v>320</v>
      </c>
      <c r="F18" s="10" t="s">
        <v>998</v>
      </c>
    </row>
    <row r="19" spans="1:6" x14ac:dyDescent="0.3">
      <c r="A19" s="10" t="s">
        <v>320</v>
      </c>
      <c r="B19" s="10" t="s">
        <v>974</v>
      </c>
      <c r="C19" s="10" t="s">
        <v>329</v>
      </c>
      <c r="D19" s="10" t="s">
        <v>999</v>
      </c>
      <c r="E19" s="10" t="s">
        <v>320</v>
      </c>
      <c r="F19" s="10" t="s">
        <v>1000</v>
      </c>
    </row>
    <row r="20" spans="1:6" x14ac:dyDescent="0.3">
      <c r="A20" s="10" t="s">
        <v>320</v>
      </c>
      <c r="B20" s="10" t="s">
        <v>974</v>
      </c>
      <c r="C20" s="10" t="s">
        <v>332</v>
      </c>
      <c r="D20" s="10" t="s">
        <v>1001</v>
      </c>
      <c r="E20" s="10" t="s">
        <v>332</v>
      </c>
      <c r="F20" s="10" t="s">
        <v>1002</v>
      </c>
    </row>
    <row r="21" spans="1:6" x14ac:dyDescent="0.3">
      <c r="A21" s="10" t="s">
        <v>320</v>
      </c>
      <c r="B21" s="10" t="s">
        <v>974</v>
      </c>
      <c r="C21" s="10" t="s">
        <v>335</v>
      </c>
      <c r="D21" s="10" t="s">
        <v>1003</v>
      </c>
      <c r="E21" s="10" t="s">
        <v>335</v>
      </c>
      <c r="F21" s="10" t="s">
        <v>1004</v>
      </c>
    </row>
    <row r="22" spans="1:6" x14ac:dyDescent="0.3">
      <c r="A22" s="10" t="s">
        <v>320</v>
      </c>
      <c r="B22" s="10" t="s">
        <v>974</v>
      </c>
      <c r="C22" s="10" t="s">
        <v>338</v>
      </c>
      <c r="D22" s="10" t="s">
        <v>1005</v>
      </c>
      <c r="E22" s="10" t="s">
        <v>338</v>
      </c>
      <c r="F22" s="10" t="s">
        <v>1006</v>
      </c>
    </row>
    <row r="23" spans="1:6" x14ac:dyDescent="0.3">
      <c r="A23" s="10" t="s">
        <v>320</v>
      </c>
      <c r="B23" s="10" t="s">
        <v>974</v>
      </c>
      <c r="C23" s="10" t="s">
        <v>341</v>
      </c>
      <c r="D23" s="10" t="s">
        <v>1007</v>
      </c>
      <c r="E23" s="10" t="s">
        <v>341</v>
      </c>
      <c r="F23" s="10"/>
    </row>
    <row r="24" spans="1:6" x14ac:dyDescent="0.3">
      <c r="A24" s="10" t="s">
        <v>320</v>
      </c>
      <c r="B24" s="10" t="s">
        <v>974</v>
      </c>
      <c r="C24" s="10" t="s">
        <v>376</v>
      </c>
      <c r="D24" s="10" t="s">
        <v>1008</v>
      </c>
      <c r="E24" s="10" t="s">
        <v>376</v>
      </c>
      <c r="F24" s="10"/>
    </row>
    <row r="25" spans="1:6" x14ac:dyDescent="0.3">
      <c r="A25" s="10" t="s">
        <v>320</v>
      </c>
      <c r="B25" s="10" t="s">
        <v>974</v>
      </c>
      <c r="C25" s="10" t="s">
        <v>386</v>
      </c>
      <c r="D25" s="10" t="s">
        <v>1009</v>
      </c>
      <c r="E25" s="10" t="s">
        <v>386</v>
      </c>
      <c r="F25" s="10"/>
    </row>
    <row r="26" spans="1:6" x14ac:dyDescent="0.3">
      <c r="A26" s="10" t="s">
        <v>95</v>
      </c>
      <c r="B26" s="10" t="s">
        <v>974</v>
      </c>
      <c r="C26" s="10" t="s">
        <v>347</v>
      </c>
      <c r="D26" s="10" t="s">
        <v>1010</v>
      </c>
      <c r="E26" s="10" t="s">
        <v>347</v>
      </c>
      <c r="F26" s="10" t="s">
        <v>1002</v>
      </c>
    </row>
    <row r="27" spans="1:6" x14ac:dyDescent="0.3">
      <c r="A27" s="10" t="s">
        <v>347</v>
      </c>
      <c r="B27" s="10" t="s">
        <v>1011</v>
      </c>
      <c r="C27" s="10" t="s">
        <v>338</v>
      </c>
      <c r="D27" s="10" t="s">
        <v>1012</v>
      </c>
      <c r="E27" s="10" t="s">
        <v>347</v>
      </c>
      <c r="F27" s="10" t="s">
        <v>1013</v>
      </c>
    </row>
    <row r="28" spans="1:6" x14ac:dyDescent="0.3">
      <c r="A28" s="10" t="s">
        <v>347</v>
      </c>
      <c r="B28" s="10" t="s">
        <v>1011</v>
      </c>
      <c r="C28" s="10" t="s">
        <v>335</v>
      </c>
      <c r="D28" s="10" t="s">
        <v>1014</v>
      </c>
      <c r="E28" s="10" t="s">
        <v>347</v>
      </c>
      <c r="F28" s="10" t="s">
        <v>1013</v>
      </c>
    </row>
    <row r="29" spans="1:6" x14ac:dyDescent="0.3">
      <c r="A29" s="10" t="s">
        <v>95</v>
      </c>
      <c r="B29" s="10" t="s">
        <v>1011</v>
      </c>
      <c r="C29" s="10" t="s">
        <v>358</v>
      </c>
      <c r="D29" s="10" t="s">
        <v>1015</v>
      </c>
      <c r="E29" s="10" t="s">
        <v>95</v>
      </c>
      <c r="F29" s="10" t="s">
        <v>1016</v>
      </c>
    </row>
    <row r="30" spans="1:6" x14ac:dyDescent="0.3">
      <c r="A30" s="10" t="s">
        <v>345</v>
      </c>
      <c r="B30" s="10" t="s">
        <v>974</v>
      </c>
      <c r="C30" s="10" t="s">
        <v>352</v>
      </c>
      <c r="D30" s="10" t="s">
        <v>1017</v>
      </c>
      <c r="E30" s="10" t="s">
        <v>352</v>
      </c>
      <c r="F30" s="10" t="s">
        <v>1004</v>
      </c>
    </row>
    <row r="31" spans="1:6" x14ac:dyDescent="0.3">
      <c r="A31" s="10" t="s">
        <v>345</v>
      </c>
      <c r="B31" s="10" t="s">
        <v>974</v>
      </c>
      <c r="C31" s="10" t="s">
        <v>355</v>
      </c>
      <c r="D31" s="10" t="s">
        <v>1018</v>
      </c>
      <c r="E31" s="10" t="s">
        <v>355</v>
      </c>
      <c r="F31" s="10" t="s">
        <v>1002</v>
      </c>
    </row>
    <row r="32" spans="1:6" x14ac:dyDescent="0.3">
      <c r="A32" s="10" t="s">
        <v>345</v>
      </c>
      <c r="B32" s="10" t="s">
        <v>974</v>
      </c>
      <c r="C32" s="10" t="s">
        <v>364</v>
      </c>
      <c r="D32" s="10" t="s">
        <v>1019</v>
      </c>
      <c r="E32" s="10" t="s">
        <v>364</v>
      </c>
      <c r="F32" s="10" t="s">
        <v>1020</v>
      </c>
    </row>
    <row r="33" spans="1:6" x14ac:dyDescent="0.3">
      <c r="A33" s="10" t="s">
        <v>345</v>
      </c>
      <c r="B33" s="10" t="s">
        <v>1021</v>
      </c>
      <c r="C33" s="10" t="s">
        <v>376</v>
      </c>
      <c r="D33" s="10" t="s">
        <v>1022</v>
      </c>
      <c r="E33" s="10" t="s">
        <v>376</v>
      </c>
      <c r="F33" s="10" t="s">
        <v>1023</v>
      </c>
    </row>
    <row r="34" spans="1:6" x14ac:dyDescent="0.3">
      <c r="A34" s="10" t="s">
        <v>345</v>
      </c>
      <c r="B34" s="10" t="s">
        <v>1011</v>
      </c>
      <c r="C34" s="10" t="s">
        <v>358</v>
      </c>
      <c r="D34" s="10" t="s">
        <v>1024</v>
      </c>
      <c r="E34" s="10" t="s">
        <v>345</v>
      </c>
      <c r="F34" s="10" t="s">
        <v>1016</v>
      </c>
    </row>
    <row r="35" spans="1:6" x14ac:dyDescent="0.3">
      <c r="A35" s="10" t="s">
        <v>352</v>
      </c>
      <c r="B35" s="10" t="s">
        <v>1011</v>
      </c>
      <c r="C35" s="10" t="s">
        <v>338</v>
      </c>
      <c r="D35" s="10" t="s">
        <v>1025</v>
      </c>
      <c r="E35" s="10" t="s">
        <v>352</v>
      </c>
      <c r="F35" s="10" t="s">
        <v>1026</v>
      </c>
    </row>
    <row r="36" spans="1:6" x14ac:dyDescent="0.3">
      <c r="A36" s="10" t="s">
        <v>352</v>
      </c>
      <c r="B36" s="10" t="s">
        <v>1011</v>
      </c>
      <c r="C36" s="10" t="s">
        <v>335</v>
      </c>
      <c r="D36" s="10" t="s">
        <v>1027</v>
      </c>
      <c r="E36" s="10" t="s">
        <v>352</v>
      </c>
      <c r="F36" s="10"/>
    </row>
    <row r="37" spans="1:6" x14ac:dyDescent="0.3">
      <c r="A37" s="10" t="s">
        <v>352</v>
      </c>
      <c r="B37" s="10" t="s">
        <v>1011</v>
      </c>
      <c r="C37" s="10" t="s">
        <v>320</v>
      </c>
      <c r="D37" s="10" t="s">
        <v>1028</v>
      </c>
      <c r="E37" s="10" t="s">
        <v>352</v>
      </c>
      <c r="F37" s="10" t="s">
        <v>658</v>
      </c>
    </row>
    <row r="38" spans="1:6" x14ac:dyDescent="0.3">
      <c r="A38" s="10" t="s">
        <v>355</v>
      </c>
      <c r="B38" s="10" t="s">
        <v>1011</v>
      </c>
      <c r="C38" s="10" t="s">
        <v>335</v>
      </c>
      <c r="D38" s="10" t="s">
        <v>1029</v>
      </c>
      <c r="E38" s="10" t="s">
        <v>355</v>
      </c>
      <c r="F38" s="10" t="s">
        <v>1016</v>
      </c>
    </row>
    <row r="39" spans="1:6" x14ac:dyDescent="0.3">
      <c r="A39" s="10" t="s">
        <v>364</v>
      </c>
      <c r="B39" s="10" t="s">
        <v>974</v>
      </c>
      <c r="C39" s="10" t="s">
        <v>370</v>
      </c>
      <c r="D39" s="10" t="s">
        <v>1030</v>
      </c>
      <c r="E39" s="10" t="s">
        <v>370</v>
      </c>
      <c r="F39" s="10"/>
    </row>
    <row r="40" spans="1:6" x14ac:dyDescent="0.3">
      <c r="A40" s="10" t="s">
        <v>364</v>
      </c>
      <c r="B40" s="10" t="s">
        <v>974</v>
      </c>
      <c r="C40" s="10" t="s">
        <v>367</v>
      </c>
      <c r="D40" s="10" t="s">
        <v>1031</v>
      </c>
      <c r="E40" s="10" t="s">
        <v>367</v>
      </c>
      <c r="F40" s="10" t="s">
        <v>1016</v>
      </c>
    </row>
    <row r="41" spans="1:6" x14ac:dyDescent="0.3">
      <c r="A41" s="10" t="s">
        <v>345</v>
      </c>
      <c r="B41" s="10" t="s">
        <v>974</v>
      </c>
      <c r="C41" s="10" t="s">
        <v>370</v>
      </c>
      <c r="D41" s="10" t="s">
        <v>1032</v>
      </c>
      <c r="E41" s="10" t="s">
        <v>370</v>
      </c>
      <c r="F41" s="10"/>
    </row>
    <row r="42" spans="1:6" x14ac:dyDescent="0.3">
      <c r="A42" s="10" t="s">
        <v>376</v>
      </c>
      <c r="B42" s="10" t="s">
        <v>974</v>
      </c>
      <c r="C42" s="10" t="s">
        <v>380</v>
      </c>
      <c r="D42" s="10" t="s">
        <v>1033</v>
      </c>
      <c r="E42" s="10" t="s">
        <v>380</v>
      </c>
      <c r="F42" s="10"/>
    </row>
    <row r="43" spans="1:6" x14ac:dyDescent="0.3">
      <c r="A43" s="10" t="s">
        <v>376</v>
      </c>
      <c r="B43" s="10" t="s">
        <v>974</v>
      </c>
      <c r="C43" s="10" t="s">
        <v>383</v>
      </c>
      <c r="D43" s="10" t="s">
        <v>1034</v>
      </c>
      <c r="E43" s="10" t="s">
        <v>383</v>
      </c>
      <c r="F43" s="10"/>
    </row>
    <row r="44" spans="1:6" x14ac:dyDescent="0.3">
      <c r="A44" s="10" t="s">
        <v>358</v>
      </c>
      <c r="B44" s="10" t="s">
        <v>974</v>
      </c>
      <c r="C44" s="10" t="s">
        <v>361</v>
      </c>
      <c r="D44" s="10" t="s">
        <v>1035</v>
      </c>
      <c r="E44" s="10" t="s">
        <v>361</v>
      </c>
      <c r="F44" s="10"/>
    </row>
    <row r="45" spans="1:6" x14ac:dyDescent="0.3">
      <c r="A45" s="10" t="s">
        <v>345</v>
      </c>
      <c r="B45" s="10" t="s">
        <v>1021</v>
      </c>
      <c r="C45" s="10" t="s">
        <v>361</v>
      </c>
      <c r="D45" s="10" t="s">
        <v>1036</v>
      </c>
      <c r="E45" s="10" t="s">
        <v>361</v>
      </c>
      <c r="F45" s="10"/>
    </row>
  </sheetData>
  <autoFilter ref="A1:F45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0"/>
  <sheetViews>
    <sheetView zoomScaleNormal="100" workbookViewId="0">
      <pane ySplit="1" topLeftCell="A59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8" customWidth="1"/>
    <col min="3" max="3" width="70" customWidth="1"/>
  </cols>
  <sheetData>
    <row r="1" spans="1:3" x14ac:dyDescent="0.3">
      <c r="A1" s="9" t="s">
        <v>1037</v>
      </c>
      <c r="B1" s="9" t="s">
        <v>1038</v>
      </c>
      <c r="C1" s="9" t="s">
        <v>1039</v>
      </c>
    </row>
    <row r="2" spans="1:3" x14ac:dyDescent="0.3">
      <c r="A2" s="10" t="s">
        <v>448</v>
      </c>
      <c r="B2" s="10" t="s">
        <v>1040</v>
      </c>
      <c r="C2" s="10" t="s">
        <v>1041</v>
      </c>
    </row>
    <row r="3" spans="1:3" x14ac:dyDescent="0.3">
      <c r="A3" s="10" t="s">
        <v>448</v>
      </c>
      <c r="B3" s="10" t="s">
        <v>1042</v>
      </c>
      <c r="C3" s="10" t="s">
        <v>1041</v>
      </c>
    </row>
    <row r="4" spans="1:3" x14ac:dyDescent="0.3">
      <c r="A4" s="10" t="s">
        <v>448</v>
      </c>
      <c r="B4" s="10" t="s">
        <v>1043</v>
      </c>
      <c r="C4" s="10" t="s">
        <v>1041</v>
      </c>
    </row>
    <row r="5" spans="1:3" x14ac:dyDescent="0.3">
      <c r="A5" s="10" t="s">
        <v>453</v>
      </c>
      <c r="B5" s="10" t="s">
        <v>1044</v>
      </c>
      <c r="C5" s="10" t="s">
        <v>1045</v>
      </c>
    </row>
    <row r="6" spans="1:3" x14ac:dyDescent="0.3">
      <c r="A6" s="10" t="s">
        <v>453</v>
      </c>
      <c r="B6" s="10" t="s">
        <v>1046</v>
      </c>
      <c r="C6" s="10" t="s">
        <v>1045</v>
      </c>
    </row>
    <row r="7" spans="1:3" x14ac:dyDescent="0.3">
      <c r="A7" s="10" t="s">
        <v>453</v>
      </c>
      <c r="B7" s="10" t="s">
        <v>1047</v>
      </c>
      <c r="C7" s="10" t="s">
        <v>1045</v>
      </c>
    </row>
    <row r="8" spans="1:3" x14ac:dyDescent="0.3">
      <c r="A8" s="10" t="s">
        <v>453</v>
      </c>
      <c r="B8" s="10" t="s">
        <v>1048</v>
      </c>
      <c r="C8" s="10" t="s">
        <v>1045</v>
      </c>
    </row>
    <row r="9" spans="1:3" x14ac:dyDescent="0.3">
      <c r="A9" s="10" t="s">
        <v>495</v>
      </c>
      <c r="B9" s="10" t="s">
        <v>1049</v>
      </c>
      <c r="C9" s="10" t="s">
        <v>1050</v>
      </c>
    </row>
    <row r="10" spans="1:3" x14ac:dyDescent="0.3">
      <c r="A10" s="10" t="s">
        <v>495</v>
      </c>
      <c r="B10" s="10" t="s">
        <v>1051</v>
      </c>
      <c r="C10" s="10" t="s">
        <v>1050</v>
      </c>
    </row>
    <row r="11" spans="1:3" x14ac:dyDescent="0.3">
      <c r="A11" s="10" t="s">
        <v>539</v>
      </c>
      <c r="B11" s="10" t="s">
        <v>1052</v>
      </c>
      <c r="C11" s="10" t="s">
        <v>1053</v>
      </c>
    </row>
    <row r="12" spans="1:3" x14ac:dyDescent="0.3">
      <c r="A12" s="10" t="s">
        <v>539</v>
      </c>
      <c r="B12" s="10" t="s">
        <v>1054</v>
      </c>
      <c r="C12" s="10" t="s">
        <v>1053</v>
      </c>
    </row>
    <row r="13" spans="1:3" x14ac:dyDescent="0.3">
      <c r="A13" s="10" t="s">
        <v>539</v>
      </c>
      <c r="B13" s="10" t="s">
        <v>1055</v>
      </c>
      <c r="C13" s="10" t="s">
        <v>1053</v>
      </c>
    </row>
    <row r="14" spans="1:3" x14ac:dyDescent="0.3">
      <c r="A14" s="10" t="s">
        <v>539</v>
      </c>
      <c r="B14" s="10" t="s">
        <v>1056</v>
      </c>
      <c r="C14" s="10" t="s">
        <v>1053</v>
      </c>
    </row>
    <row r="15" spans="1:3" x14ac:dyDescent="0.3">
      <c r="A15" s="10" t="s">
        <v>646</v>
      </c>
      <c r="B15" s="10" t="s">
        <v>1057</v>
      </c>
      <c r="C15" s="10" t="s">
        <v>1058</v>
      </c>
    </row>
    <row r="16" spans="1:3" x14ac:dyDescent="0.3">
      <c r="A16" s="10" t="s">
        <v>646</v>
      </c>
      <c r="B16" s="10" t="s">
        <v>1059</v>
      </c>
      <c r="C16" s="10" t="s">
        <v>1058</v>
      </c>
    </row>
    <row r="17" spans="1:3" x14ac:dyDescent="0.3">
      <c r="A17" s="10" t="s">
        <v>646</v>
      </c>
      <c r="B17" s="10" t="s">
        <v>1046</v>
      </c>
      <c r="C17" s="10" t="s">
        <v>1058</v>
      </c>
    </row>
    <row r="18" spans="1:3" x14ac:dyDescent="0.3">
      <c r="A18" s="10" t="s">
        <v>646</v>
      </c>
      <c r="B18" s="10" t="s">
        <v>1060</v>
      </c>
      <c r="C18" s="10" t="s">
        <v>1058</v>
      </c>
    </row>
    <row r="19" spans="1:3" x14ac:dyDescent="0.3">
      <c r="A19" s="10" t="s">
        <v>646</v>
      </c>
      <c r="B19" s="10" t="s">
        <v>1055</v>
      </c>
      <c r="C19" s="10" t="s">
        <v>1058</v>
      </c>
    </row>
    <row r="20" spans="1:3" x14ac:dyDescent="0.3">
      <c r="A20" s="10" t="s">
        <v>646</v>
      </c>
      <c r="B20" s="10" t="s">
        <v>1048</v>
      </c>
      <c r="C20" s="10" t="s">
        <v>1058</v>
      </c>
    </row>
    <row r="21" spans="1:3" x14ac:dyDescent="0.3">
      <c r="A21" s="10" t="s">
        <v>681</v>
      </c>
      <c r="B21" s="10" t="s">
        <v>1061</v>
      </c>
      <c r="C21" s="10" t="s">
        <v>1062</v>
      </c>
    </row>
    <row r="22" spans="1:3" x14ac:dyDescent="0.3">
      <c r="A22" s="10" t="s">
        <v>681</v>
      </c>
      <c r="B22" s="10" t="s">
        <v>1063</v>
      </c>
      <c r="C22" s="10" t="s">
        <v>1062</v>
      </c>
    </row>
    <row r="23" spans="1:3" x14ac:dyDescent="0.3">
      <c r="A23" s="10" t="s">
        <v>688</v>
      </c>
      <c r="B23" s="10" t="s">
        <v>1064</v>
      </c>
      <c r="C23" s="10" t="s">
        <v>1065</v>
      </c>
    </row>
    <row r="24" spans="1:3" x14ac:dyDescent="0.3">
      <c r="A24" s="10" t="s">
        <v>688</v>
      </c>
      <c r="B24" s="10" t="s">
        <v>1066</v>
      </c>
      <c r="C24" s="10" t="s">
        <v>1065</v>
      </c>
    </row>
    <row r="25" spans="1:3" x14ac:dyDescent="0.3">
      <c r="A25" s="10" t="s">
        <v>688</v>
      </c>
      <c r="B25" s="10" t="s">
        <v>1067</v>
      </c>
      <c r="C25" s="10" t="s">
        <v>1065</v>
      </c>
    </row>
    <row r="26" spans="1:3" x14ac:dyDescent="0.3">
      <c r="A26" s="10" t="s">
        <v>688</v>
      </c>
      <c r="B26" s="10" t="s">
        <v>1068</v>
      </c>
      <c r="C26" s="10" t="s">
        <v>1065</v>
      </c>
    </row>
    <row r="27" spans="1:3" x14ac:dyDescent="0.3">
      <c r="A27" s="10" t="s">
        <v>688</v>
      </c>
      <c r="B27" s="10" t="s">
        <v>1069</v>
      </c>
      <c r="C27" s="10" t="s">
        <v>1065</v>
      </c>
    </row>
    <row r="28" spans="1:3" x14ac:dyDescent="0.3">
      <c r="A28" s="10" t="s">
        <v>725</v>
      </c>
      <c r="B28" s="10" t="s">
        <v>1070</v>
      </c>
      <c r="C28" s="10" t="s">
        <v>1071</v>
      </c>
    </row>
    <row r="29" spans="1:3" x14ac:dyDescent="0.3">
      <c r="A29" s="10" t="s">
        <v>725</v>
      </c>
      <c r="B29" s="10" t="s">
        <v>1072</v>
      </c>
      <c r="C29" s="10" t="s">
        <v>1071</v>
      </c>
    </row>
    <row r="30" spans="1:3" x14ac:dyDescent="0.3">
      <c r="A30" s="10" t="s">
        <v>725</v>
      </c>
      <c r="B30" s="10" t="s">
        <v>1073</v>
      </c>
      <c r="C30" s="10" t="s">
        <v>1071</v>
      </c>
    </row>
    <row r="31" spans="1:3" x14ac:dyDescent="0.3">
      <c r="A31" s="10" t="s">
        <v>725</v>
      </c>
      <c r="B31" s="10" t="s">
        <v>1074</v>
      </c>
      <c r="C31" s="10" t="s">
        <v>1071</v>
      </c>
    </row>
    <row r="32" spans="1:3" x14ac:dyDescent="0.3">
      <c r="A32" s="10" t="s">
        <v>758</v>
      </c>
      <c r="B32" s="10" t="s">
        <v>1052</v>
      </c>
      <c r="C32" s="10" t="s">
        <v>1075</v>
      </c>
    </row>
    <row r="33" spans="1:3" x14ac:dyDescent="0.3">
      <c r="A33" s="10" t="s">
        <v>758</v>
      </c>
      <c r="B33" s="10" t="s">
        <v>1076</v>
      </c>
      <c r="C33" s="10" t="s">
        <v>1075</v>
      </c>
    </row>
    <row r="34" spans="1:3" x14ac:dyDescent="0.3">
      <c r="A34" s="10" t="s">
        <v>758</v>
      </c>
      <c r="B34" s="10" t="s">
        <v>1077</v>
      </c>
      <c r="C34" s="10" t="s">
        <v>1075</v>
      </c>
    </row>
    <row r="35" spans="1:3" x14ac:dyDescent="0.3">
      <c r="A35" s="10" t="s">
        <v>758</v>
      </c>
      <c r="B35" s="10" t="s">
        <v>1078</v>
      </c>
      <c r="C35" s="10" t="s">
        <v>1075</v>
      </c>
    </row>
    <row r="36" spans="1:3" x14ac:dyDescent="0.3">
      <c r="A36" s="10" t="s">
        <v>758</v>
      </c>
      <c r="B36" s="10" t="s">
        <v>1074</v>
      </c>
      <c r="C36" s="10" t="s">
        <v>1075</v>
      </c>
    </row>
    <row r="37" spans="1:3" x14ac:dyDescent="0.3">
      <c r="A37" s="10" t="s">
        <v>758</v>
      </c>
      <c r="B37" s="10" t="s">
        <v>1079</v>
      </c>
      <c r="C37" s="10" t="s">
        <v>1075</v>
      </c>
    </row>
    <row r="38" spans="1:3" x14ac:dyDescent="0.3">
      <c r="A38" s="10" t="s">
        <v>758</v>
      </c>
      <c r="B38" s="10" t="s">
        <v>1080</v>
      </c>
      <c r="C38" s="10" t="s">
        <v>1075</v>
      </c>
    </row>
    <row r="39" spans="1:3" x14ac:dyDescent="0.3">
      <c r="A39" s="10" t="s">
        <v>758</v>
      </c>
      <c r="B39" s="10" t="s">
        <v>1055</v>
      </c>
      <c r="C39" s="10" t="s">
        <v>1075</v>
      </c>
    </row>
    <row r="40" spans="1:3" x14ac:dyDescent="0.3">
      <c r="A40" s="10" t="s">
        <v>784</v>
      </c>
      <c r="B40" s="10" t="s">
        <v>1040</v>
      </c>
      <c r="C40" s="10" t="s">
        <v>1081</v>
      </c>
    </row>
    <row r="41" spans="1:3" x14ac:dyDescent="0.3">
      <c r="A41" s="10" t="s">
        <v>784</v>
      </c>
      <c r="B41" s="10" t="s">
        <v>1042</v>
      </c>
      <c r="C41" s="10" t="s">
        <v>1081</v>
      </c>
    </row>
    <row r="42" spans="1:3" x14ac:dyDescent="0.3">
      <c r="A42" s="10" t="s">
        <v>784</v>
      </c>
      <c r="B42" s="10" t="s">
        <v>1043</v>
      </c>
      <c r="C42" s="10" t="s">
        <v>1081</v>
      </c>
    </row>
    <row r="43" spans="1:3" x14ac:dyDescent="0.3">
      <c r="A43" s="10" t="s">
        <v>784</v>
      </c>
      <c r="B43" s="10" t="s">
        <v>1082</v>
      </c>
      <c r="C43" s="10" t="s">
        <v>1081</v>
      </c>
    </row>
    <row r="44" spans="1:3" x14ac:dyDescent="0.3">
      <c r="A44" s="10" t="s">
        <v>817</v>
      </c>
      <c r="B44" s="10" t="s">
        <v>1083</v>
      </c>
      <c r="C44" s="10" t="s">
        <v>1084</v>
      </c>
    </row>
    <row r="45" spans="1:3" x14ac:dyDescent="0.3">
      <c r="A45" s="10" t="s">
        <v>817</v>
      </c>
      <c r="B45" s="10" t="s">
        <v>1085</v>
      </c>
      <c r="C45" s="10" t="s">
        <v>1084</v>
      </c>
    </row>
    <row r="46" spans="1:3" x14ac:dyDescent="0.3">
      <c r="A46" s="10" t="s">
        <v>851</v>
      </c>
      <c r="B46" s="10" t="s">
        <v>1086</v>
      </c>
      <c r="C46" s="10" t="s">
        <v>1087</v>
      </c>
    </row>
    <row r="47" spans="1:3" x14ac:dyDescent="0.3">
      <c r="A47" s="10" t="s">
        <v>851</v>
      </c>
      <c r="B47" s="10" t="s">
        <v>1088</v>
      </c>
      <c r="C47" s="10" t="s">
        <v>1087</v>
      </c>
    </row>
    <row r="48" spans="1:3" x14ac:dyDescent="0.3">
      <c r="A48" s="10" t="s">
        <v>851</v>
      </c>
      <c r="B48" s="10" t="s">
        <v>1089</v>
      </c>
      <c r="C48" s="10" t="s">
        <v>1087</v>
      </c>
    </row>
    <row r="49" spans="1:3" x14ac:dyDescent="0.3">
      <c r="A49" s="10" t="s">
        <v>851</v>
      </c>
      <c r="B49" s="10" t="s">
        <v>1090</v>
      </c>
      <c r="C49" s="10" t="s">
        <v>1087</v>
      </c>
    </row>
    <row r="50" spans="1:3" x14ac:dyDescent="0.3">
      <c r="A50" s="10" t="s">
        <v>853</v>
      </c>
      <c r="B50" s="10" t="s">
        <v>1091</v>
      </c>
      <c r="C50" s="10" t="s">
        <v>1092</v>
      </c>
    </row>
    <row r="51" spans="1:3" x14ac:dyDescent="0.3">
      <c r="A51" s="10" t="s">
        <v>853</v>
      </c>
      <c r="B51" s="10" t="s">
        <v>1052</v>
      </c>
      <c r="C51" s="10" t="s">
        <v>1092</v>
      </c>
    </row>
    <row r="52" spans="1:3" x14ac:dyDescent="0.3">
      <c r="A52" s="10" t="s">
        <v>853</v>
      </c>
      <c r="B52" s="10" t="s">
        <v>1093</v>
      </c>
      <c r="C52" s="10" t="s">
        <v>1092</v>
      </c>
    </row>
    <row r="53" spans="1:3" x14ac:dyDescent="0.3">
      <c r="A53" s="10" t="s">
        <v>853</v>
      </c>
      <c r="B53" s="10" t="s">
        <v>1094</v>
      </c>
      <c r="C53" s="10" t="s">
        <v>1092</v>
      </c>
    </row>
    <row r="54" spans="1:3" x14ac:dyDescent="0.3">
      <c r="A54" s="10" t="s">
        <v>853</v>
      </c>
      <c r="B54" s="10" t="s">
        <v>1095</v>
      </c>
      <c r="C54" s="10" t="s">
        <v>1092</v>
      </c>
    </row>
    <row r="55" spans="1:3" x14ac:dyDescent="0.3">
      <c r="A55" s="10" t="s">
        <v>853</v>
      </c>
      <c r="B55" s="10" t="s">
        <v>1080</v>
      </c>
      <c r="C55" s="10" t="s">
        <v>1092</v>
      </c>
    </row>
    <row r="56" spans="1:3" x14ac:dyDescent="0.3">
      <c r="A56" s="10" t="s">
        <v>877</v>
      </c>
      <c r="B56" s="10" t="s">
        <v>1052</v>
      </c>
      <c r="C56" s="10" t="s">
        <v>1096</v>
      </c>
    </row>
    <row r="57" spans="1:3" x14ac:dyDescent="0.3">
      <c r="A57" s="10" t="s">
        <v>877</v>
      </c>
      <c r="B57" s="10" t="s">
        <v>1097</v>
      </c>
      <c r="C57" s="10" t="s">
        <v>1096</v>
      </c>
    </row>
    <row r="58" spans="1:3" x14ac:dyDescent="0.3">
      <c r="A58" s="10" t="s">
        <v>877</v>
      </c>
      <c r="B58" s="10" t="s">
        <v>1094</v>
      </c>
      <c r="C58" s="10" t="s">
        <v>1096</v>
      </c>
    </row>
    <row r="59" spans="1:3" x14ac:dyDescent="0.3">
      <c r="A59" s="10" t="s">
        <v>894</v>
      </c>
      <c r="B59" s="10" t="s">
        <v>1052</v>
      </c>
      <c r="C59" s="10" t="s">
        <v>1098</v>
      </c>
    </row>
    <row r="60" spans="1:3" x14ac:dyDescent="0.3">
      <c r="A60" s="10" t="s">
        <v>894</v>
      </c>
      <c r="B60" s="10" t="s">
        <v>1099</v>
      </c>
      <c r="C60" s="10" t="s">
        <v>1098</v>
      </c>
    </row>
    <row r="61" spans="1:3" x14ac:dyDescent="0.3">
      <c r="A61" s="10" t="s">
        <v>894</v>
      </c>
      <c r="B61" s="10" t="s">
        <v>1094</v>
      </c>
      <c r="C61" s="10" t="s">
        <v>1098</v>
      </c>
    </row>
    <row r="62" spans="1:3" x14ac:dyDescent="0.3">
      <c r="A62" s="10" t="s">
        <v>906</v>
      </c>
      <c r="B62" s="10" t="s">
        <v>1100</v>
      </c>
      <c r="C62" s="10" t="s">
        <v>1101</v>
      </c>
    </row>
    <row r="63" spans="1:3" x14ac:dyDescent="0.3">
      <c r="A63" s="10" t="s">
        <v>906</v>
      </c>
      <c r="B63" s="10" t="s">
        <v>1102</v>
      </c>
      <c r="C63" s="10" t="s">
        <v>1101</v>
      </c>
    </row>
    <row r="64" spans="1:3" x14ac:dyDescent="0.3">
      <c r="A64" s="10" t="s">
        <v>906</v>
      </c>
      <c r="B64" s="10" t="s">
        <v>1103</v>
      </c>
      <c r="C64" s="10" t="s">
        <v>1101</v>
      </c>
    </row>
    <row r="65" spans="1:3" x14ac:dyDescent="0.3">
      <c r="A65" s="10" t="s">
        <v>918</v>
      </c>
      <c r="B65" s="10" t="s">
        <v>1104</v>
      </c>
      <c r="C65" s="10" t="s">
        <v>1105</v>
      </c>
    </row>
    <row r="66" spans="1:3" x14ac:dyDescent="0.3">
      <c r="A66" s="10" t="s">
        <v>918</v>
      </c>
      <c r="B66" s="10" t="s">
        <v>1106</v>
      </c>
      <c r="C66" s="10" t="s">
        <v>1105</v>
      </c>
    </row>
    <row r="67" spans="1:3" x14ac:dyDescent="0.3">
      <c r="A67" s="10" t="s">
        <v>918</v>
      </c>
      <c r="B67" s="10" t="s">
        <v>1107</v>
      </c>
      <c r="C67" s="10" t="s">
        <v>1105</v>
      </c>
    </row>
    <row r="68" spans="1:3" x14ac:dyDescent="0.3">
      <c r="A68" s="10" t="s">
        <v>918</v>
      </c>
      <c r="B68" s="10" t="s">
        <v>1108</v>
      </c>
      <c r="C68" s="10" t="s">
        <v>1105</v>
      </c>
    </row>
    <row r="69" spans="1:3" x14ac:dyDescent="0.3">
      <c r="A69" s="10" t="s">
        <v>921</v>
      </c>
      <c r="B69" s="10" t="s">
        <v>1070</v>
      </c>
      <c r="C69" s="10" t="s">
        <v>1109</v>
      </c>
    </row>
    <row r="70" spans="1:3" x14ac:dyDescent="0.3">
      <c r="A70" s="10" t="s">
        <v>921</v>
      </c>
      <c r="B70" s="10" t="s">
        <v>1110</v>
      </c>
      <c r="C70" s="10" t="s">
        <v>1109</v>
      </c>
    </row>
    <row r="71" spans="1:3" x14ac:dyDescent="0.3">
      <c r="A71" s="10" t="s">
        <v>921</v>
      </c>
      <c r="B71" s="10" t="s">
        <v>1111</v>
      </c>
      <c r="C71" s="10" t="s">
        <v>1109</v>
      </c>
    </row>
    <row r="72" spans="1:3" x14ac:dyDescent="0.3">
      <c r="A72" s="10" t="s">
        <v>926</v>
      </c>
      <c r="B72" s="10" t="s">
        <v>1112</v>
      </c>
      <c r="C72" s="10" t="s">
        <v>1113</v>
      </c>
    </row>
    <row r="73" spans="1:3" x14ac:dyDescent="0.3">
      <c r="A73" s="10" t="s">
        <v>926</v>
      </c>
      <c r="B73" s="10" t="s">
        <v>1114</v>
      </c>
      <c r="C73" s="10" t="s">
        <v>1113</v>
      </c>
    </row>
    <row r="74" spans="1:3" x14ac:dyDescent="0.3">
      <c r="A74" s="10" t="s">
        <v>926</v>
      </c>
      <c r="B74" s="10" t="s">
        <v>1115</v>
      </c>
      <c r="C74" s="10" t="s">
        <v>1113</v>
      </c>
    </row>
    <row r="75" spans="1:3" x14ac:dyDescent="0.3">
      <c r="A75" s="10" t="s">
        <v>926</v>
      </c>
      <c r="B75" s="10" t="s">
        <v>1116</v>
      </c>
      <c r="C75" s="10" t="s">
        <v>1113</v>
      </c>
    </row>
    <row r="76" spans="1:3" x14ac:dyDescent="0.3">
      <c r="A76" s="10" t="s">
        <v>926</v>
      </c>
      <c r="B76" s="10" t="s">
        <v>1117</v>
      </c>
      <c r="C76" s="10" t="s">
        <v>1113</v>
      </c>
    </row>
    <row r="77" spans="1:3" x14ac:dyDescent="0.3">
      <c r="A77" s="10" t="s">
        <v>926</v>
      </c>
      <c r="B77" s="10" t="s">
        <v>1118</v>
      </c>
      <c r="C77" s="10" t="s">
        <v>1113</v>
      </c>
    </row>
    <row r="78" spans="1:3" x14ac:dyDescent="0.3">
      <c r="A78" s="10" t="s">
        <v>926</v>
      </c>
      <c r="B78" s="10" t="s">
        <v>1119</v>
      </c>
      <c r="C78" s="10" t="s">
        <v>1113</v>
      </c>
    </row>
    <row r="79" spans="1:3" x14ac:dyDescent="0.3">
      <c r="A79" s="10" t="s">
        <v>926</v>
      </c>
      <c r="B79" s="10" t="s">
        <v>1120</v>
      </c>
      <c r="C79" s="10" t="s">
        <v>1113</v>
      </c>
    </row>
    <row r="80" spans="1:3" x14ac:dyDescent="0.3">
      <c r="A80" s="10" t="s">
        <v>926</v>
      </c>
      <c r="B80" s="10" t="s">
        <v>1082</v>
      </c>
      <c r="C80" s="10" t="s">
        <v>1113</v>
      </c>
    </row>
  </sheetData>
  <autoFilter ref="A1:C8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5"/>
  <sheetViews>
    <sheetView zoomScaleNormal="100" workbookViewId="0">
      <pane ySplit="1" topLeftCell="A2" activePane="bottomLeft" state="frozen"/>
      <selection pane="bottomLeft" activeCell="A25" sqref="A25"/>
    </sheetView>
  </sheetViews>
  <sheetFormatPr defaultColWidth="8.6640625" defaultRowHeight="14.4" x14ac:dyDescent="0.3"/>
  <cols>
    <col min="1" max="1" width="26" customWidth="1"/>
    <col min="2" max="2" width="34" customWidth="1"/>
    <col min="3" max="3" width="16" customWidth="1"/>
    <col min="4" max="4" width="56" customWidth="1"/>
    <col min="5" max="5" width="44" customWidth="1"/>
  </cols>
  <sheetData>
    <row r="1" spans="1:5" x14ac:dyDescent="0.3">
      <c r="A1" s="9" t="s">
        <v>295</v>
      </c>
      <c r="B1" s="9" t="s">
        <v>1121</v>
      </c>
      <c r="C1" s="9" t="s">
        <v>1122</v>
      </c>
      <c r="D1" s="9" t="s">
        <v>1123</v>
      </c>
      <c r="E1" s="9" t="s">
        <v>1124</v>
      </c>
    </row>
    <row r="2" spans="1:5" x14ac:dyDescent="0.3">
      <c r="A2" s="10" t="s">
        <v>299</v>
      </c>
      <c r="B2" s="10" t="s">
        <v>1125</v>
      </c>
      <c r="C2" s="10" t="s">
        <v>1126</v>
      </c>
      <c r="D2" s="10" t="s">
        <v>422</v>
      </c>
      <c r="E2" s="10" t="s">
        <v>1127</v>
      </c>
    </row>
    <row r="3" spans="1:5" x14ac:dyDescent="0.3">
      <c r="A3" s="10" t="s">
        <v>299</v>
      </c>
      <c r="B3" s="10" t="s">
        <v>1128</v>
      </c>
      <c r="C3" s="10" t="s">
        <v>1129</v>
      </c>
      <c r="D3" s="10" t="s">
        <v>452</v>
      </c>
      <c r="E3" s="10" t="s">
        <v>1130</v>
      </c>
    </row>
    <row r="4" spans="1:5" x14ac:dyDescent="0.3">
      <c r="A4" s="10" t="s">
        <v>302</v>
      </c>
      <c r="B4" s="10" t="s">
        <v>1131</v>
      </c>
      <c r="C4" s="10" t="s">
        <v>1126</v>
      </c>
      <c r="D4" s="10" t="s">
        <v>492</v>
      </c>
      <c r="E4" s="10" t="s">
        <v>1132</v>
      </c>
    </row>
    <row r="5" spans="1:5" x14ac:dyDescent="0.3">
      <c r="A5" s="10" t="s">
        <v>302</v>
      </c>
      <c r="B5" s="10" t="s">
        <v>1133</v>
      </c>
      <c r="C5" s="10" t="s">
        <v>1129</v>
      </c>
      <c r="D5" s="10" t="s">
        <v>1134</v>
      </c>
      <c r="E5" s="10" t="s">
        <v>1135</v>
      </c>
    </row>
    <row r="6" spans="1:5" x14ac:dyDescent="0.3">
      <c r="A6" s="10" t="s">
        <v>305</v>
      </c>
      <c r="B6" s="10" t="s">
        <v>1136</v>
      </c>
      <c r="C6" s="10" t="s">
        <v>1126</v>
      </c>
      <c r="D6" s="10" t="s">
        <v>492</v>
      </c>
      <c r="E6" s="10" t="s">
        <v>1132</v>
      </c>
    </row>
    <row r="7" spans="1:5" x14ac:dyDescent="0.3">
      <c r="A7" s="10" t="s">
        <v>305</v>
      </c>
      <c r="B7" s="10" t="s">
        <v>1137</v>
      </c>
      <c r="C7" s="10" t="s">
        <v>1129</v>
      </c>
      <c r="D7" s="10" t="s">
        <v>488</v>
      </c>
      <c r="E7" s="10" t="s">
        <v>1138</v>
      </c>
    </row>
    <row r="8" spans="1:5" x14ac:dyDescent="0.3">
      <c r="A8" s="10" t="s">
        <v>308</v>
      </c>
      <c r="B8" s="10" t="s">
        <v>1139</v>
      </c>
      <c r="C8" s="10" t="s">
        <v>1126</v>
      </c>
      <c r="D8" s="10" t="s">
        <v>488</v>
      </c>
      <c r="E8" s="10" t="s">
        <v>1140</v>
      </c>
    </row>
    <row r="9" spans="1:5" x14ac:dyDescent="0.3">
      <c r="A9" s="10" t="s">
        <v>308</v>
      </c>
      <c r="B9" s="10" t="s">
        <v>1141</v>
      </c>
      <c r="C9" s="10" t="s">
        <v>1129</v>
      </c>
      <c r="D9" s="10" t="s">
        <v>452</v>
      </c>
      <c r="E9" s="10" t="s">
        <v>1142</v>
      </c>
    </row>
    <row r="10" spans="1:5" x14ac:dyDescent="0.3">
      <c r="A10" s="10" t="s">
        <v>308</v>
      </c>
      <c r="B10" s="10" t="s">
        <v>1143</v>
      </c>
      <c r="C10" s="10" t="s">
        <v>1144</v>
      </c>
      <c r="D10" s="10" t="s">
        <v>1145</v>
      </c>
      <c r="E10" s="10" t="s">
        <v>1146</v>
      </c>
    </row>
    <row r="11" spans="1:5" x14ac:dyDescent="0.3">
      <c r="A11" s="10" t="s">
        <v>311</v>
      </c>
      <c r="B11" s="10" t="s">
        <v>1147</v>
      </c>
      <c r="C11" s="10" t="s">
        <v>1126</v>
      </c>
      <c r="D11" s="10" t="s">
        <v>556</v>
      </c>
      <c r="E11" s="10" t="s">
        <v>1148</v>
      </c>
    </row>
    <row r="12" spans="1:5" x14ac:dyDescent="0.3">
      <c r="A12" s="10" t="s">
        <v>311</v>
      </c>
      <c r="B12" s="10" t="s">
        <v>1149</v>
      </c>
      <c r="C12" s="10" t="s">
        <v>1129</v>
      </c>
      <c r="D12" s="10" t="s">
        <v>1150</v>
      </c>
      <c r="E12" s="10" t="s">
        <v>1151</v>
      </c>
    </row>
    <row r="13" spans="1:5" x14ac:dyDescent="0.3">
      <c r="A13" s="10" t="s">
        <v>315</v>
      </c>
      <c r="B13" s="10" t="s">
        <v>1152</v>
      </c>
      <c r="C13" s="10" t="s">
        <v>1126</v>
      </c>
      <c r="D13" s="10" t="s">
        <v>553</v>
      </c>
      <c r="E13" s="10"/>
    </row>
    <row r="14" spans="1:5" x14ac:dyDescent="0.3">
      <c r="A14" s="10" t="s">
        <v>315</v>
      </c>
      <c r="B14" s="10" t="s">
        <v>1153</v>
      </c>
      <c r="C14" s="10" t="s">
        <v>1126</v>
      </c>
      <c r="D14" s="10" t="s">
        <v>556</v>
      </c>
      <c r="E14" s="10"/>
    </row>
    <row r="15" spans="1:5" x14ac:dyDescent="0.3">
      <c r="A15" s="10" t="s">
        <v>318</v>
      </c>
      <c r="B15" s="10" t="s">
        <v>1154</v>
      </c>
      <c r="C15" s="10" t="s">
        <v>1126</v>
      </c>
      <c r="D15" s="10" t="s">
        <v>553</v>
      </c>
      <c r="E15" s="10"/>
    </row>
    <row r="16" spans="1:5" x14ac:dyDescent="0.3">
      <c r="A16" s="10" t="s">
        <v>321</v>
      </c>
      <c r="B16" s="10" t="s">
        <v>1155</v>
      </c>
      <c r="C16" s="10" t="s">
        <v>1126</v>
      </c>
      <c r="D16" s="10" t="s">
        <v>556</v>
      </c>
      <c r="E16" s="10" t="s">
        <v>1156</v>
      </c>
    </row>
    <row r="17" spans="1:5" x14ac:dyDescent="0.3">
      <c r="A17" s="10" t="s">
        <v>321</v>
      </c>
      <c r="B17" s="10" t="s">
        <v>1157</v>
      </c>
      <c r="C17" s="10" t="s">
        <v>1129</v>
      </c>
      <c r="D17" s="10" t="s">
        <v>1158</v>
      </c>
      <c r="E17" s="10" t="s">
        <v>1159</v>
      </c>
    </row>
    <row r="18" spans="1:5" x14ac:dyDescent="0.3">
      <c r="A18" s="10" t="s">
        <v>321</v>
      </c>
      <c r="B18" s="10" t="s">
        <v>1160</v>
      </c>
      <c r="C18" s="10" t="s">
        <v>1129</v>
      </c>
      <c r="D18" s="10" t="s">
        <v>1161</v>
      </c>
      <c r="E18" s="10" t="s">
        <v>1162</v>
      </c>
    </row>
    <row r="19" spans="1:5" x14ac:dyDescent="0.3">
      <c r="A19" s="10" t="s">
        <v>321</v>
      </c>
      <c r="B19" s="10" t="s">
        <v>1163</v>
      </c>
      <c r="C19" s="10" t="s">
        <v>1164</v>
      </c>
      <c r="D19" s="10" t="s">
        <v>1165</v>
      </c>
      <c r="E19" s="10" t="s">
        <v>84</v>
      </c>
    </row>
    <row r="20" spans="1:5" x14ac:dyDescent="0.3">
      <c r="A20" s="10" t="s">
        <v>321</v>
      </c>
      <c r="B20" s="10" t="s">
        <v>1166</v>
      </c>
      <c r="C20" s="10" t="s">
        <v>1167</v>
      </c>
      <c r="D20" s="10" t="s">
        <v>1168</v>
      </c>
      <c r="E20" s="10" t="s">
        <v>1169</v>
      </c>
    </row>
    <row r="21" spans="1:5" x14ac:dyDescent="0.3">
      <c r="A21" s="10" t="s">
        <v>321</v>
      </c>
      <c r="B21" s="10" t="s">
        <v>1170</v>
      </c>
      <c r="C21" s="10" t="s">
        <v>1144</v>
      </c>
      <c r="D21" s="10" t="s">
        <v>1171</v>
      </c>
      <c r="E21" s="10"/>
    </row>
    <row r="22" spans="1:5" x14ac:dyDescent="0.3">
      <c r="A22" s="10" t="s">
        <v>321</v>
      </c>
      <c r="B22" s="10" t="s">
        <v>1172</v>
      </c>
      <c r="C22" s="10" t="s">
        <v>1144</v>
      </c>
      <c r="D22" s="10" t="s">
        <v>1173</v>
      </c>
      <c r="E22" s="10"/>
    </row>
    <row r="23" spans="1:5" x14ac:dyDescent="0.3">
      <c r="A23" s="10" t="s">
        <v>321</v>
      </c>
      <c r="B23" s="10" t="s">
        <v>1174</v>
      </c>
      <c r="C23" s="10" t="s">
        <v>1144</v>
      </c>
      <c r="D23" s="10" t="s">
        <v>1175</v>
      </c>
      <c r="E23" s="10"/>
    </row>
    <row r="24" spans="1:5" x14ac:dyDescent="0.3">
      <c r="A24" s="10" t="s">
        <v>324</v>
      </c>
      <c r="B24" s="10" t="s">
        <v>1176</v>
      </c>
      <c r="C24" s="10" t="s">
        <v>1177</v>
      </c>
      <c r="D24" s="10" t="s">
        <v>1178</v>
      </c>
      <c r="E24" s="10"/>
    </row>
    <row r="25" spans="1:5" x14ac:dyDescent="0.3">
      <c r="A25" s="10" t="s">
        <v>324</v>
      </c>
      <c r="B25" s="10" t="s">
        <v>1179</v>
      </c>
      <c r="C25" s="10" t="s">
        <v>1129</v>
      </c>
      <c r="D25" s="10" t="s">
        <v>670</v>
      </c>
      <c r="E25" s="10" t="s">
        <v>1180</v>
      </c>
    </row>
    <row r="26" spans="1:5" x14ac:dyDescent="0.3">
      <c r="A26" s="10" t="s">
        <v>327</v>
      </c>
      <c r="B26" s="10" t="s">
        <v>1181</v>
      </c>
      <c r="C26" s="10" t="s">
        <v>1177</v>
      </c>
      <c r="D26" s="10" t="s">
        <v>1182</v>
      </c>
      <c r="E26" s="10"/>
    </row>
    <row r="27" spans="1:5" x14ac:dyDescent="0.3">
      <c r="A27" s="10" t="s">
        <v>330</v>
      </c>
      <c r="B27" s="10" t="s">
        <v>1183</v>
      </c>
      <c r="C27" s="10" t="s">
        <v>1177</v>
      </c>
      <c r="D27" s="10" t="s">
        <v>1184</v>
      </c>
      <c r="E27" s="10"/>
    </row>
    <row r="28" spans="1:5" x14ac:dyDescent="0.3">
      <c r="A28" s="10" t="s">
        <v>333</v>
      </c>
      <c r="B28" s="10" t="s">
        <v>1185</v>
      </c>
      <c r="C28" s="10" t="s">
        <v>1129</v>
      </c>
      <c r="D28" s="10" t="s">
        <v>1186</v>
      </c>
      <c r="E28" s="10" t="s">
        <v>1187</v>
      </c>
    </row>
    <row r="29" spans="1:5" x14ac:dyDescent="0.3">
      <c r="A29" s="10" t="s">
        <v>336</v>
      </c>
      <c r="B29" s="10" t="s">
        <v>1188</v>
      </c>
      <c r="C29" s="10" t="s">
        <v>1126</v>
      </c>
      <c r="D29" s="10" t="s">
        <v>1189</v>
      </c>
      <c r="E29" s="10"/>
    </row>
    <row r="30" spans="1:5" x14ac:dyDescent="0.3">
      <c r="A30" s="10" t="s">
        <v>336</v>
      </c>
      <c r="B30" s="10" t="s">
        <v>1190</v>
      </c>
      <c r="C30" s="10" t="s">
        <v>1144</v>
      </c>
      <c r="D30" s="10" t="s">
        <v>1191</v>
      </c>
      <c r="E30" s="10"/>
    </row>
    <row r="31" spans="1:5" x14ac:dyDescent="0.3">
      <c r="A31" s="10" t="s">
        <v>339</v>
      </c>
      <c r="B31" s="10" t="s">
        <v>1192</v>
      </c>
      <c r="C31" s="10" t="s">
        <v>1126</v>
      </c>
      <c r="D31" s="10" t="s">
        <v>1193</v>
      </c>
      <c r="E31" s="10" t="s">
        <v>1194</v>
      </c>
    </row>
    <row r="32" spans="1:5" x14ac:dyDescent="0.3">
      <c r="A32" s="10" t="s">
        <v>339</v>
      </c>
      <c r="B32" s="10" t="s">
        <v>1195</v>
      </c>
      <c r="C32" s="10" t="s">
        <v>1129</v>
      </c>
      <c r="D32" s="10" t="s">
        <v>1196</v>
      </c>
      <c r="E32" s="10" t="s">
        <v>1197</v>
      </c>
    </row>
    <row r="33" spans="1:5" x14ac:dyDescent="0.3">
      <c r="A33" s="10" t="s">
        <v>339</v>
      </c>
      <c r="B33" s="10" t="s">
        <v>1198</v>
      </c>
      <c r="C33" s="10" t="s">
        <v>1144</v>
      </c>
      <c r="D33" s="10" t="s">
        <v>1199</v>
      </c>
      <c r="E33" s="10"/>
    </row>
    <row r="34" spans="1:5" x14ac:dyDescent="0.3">
      <c r="A34" s="10" t="s">
        <v>339</v>
      </c>
      <c r="B34" s="10" t="s">
        <v>1200</v>
      </c>
      <c r="C34" s="10" t="s">
        <v>1144</v>
      </c>
      <c r="D34" s="10" t="s">
        <v>1201</v>
      </c>
      <c r="E34" s="10" t="s">
        <v>1202</v>
      </c>
    </row>
    <row r="35" spans="1:5" x14ac:dyDescent="0.3">
      <c r="A35" s="10" t="s">
        <v>339</v>
      </c>
      <c r="B35" s="10" t="s">
        <v>1203</v>
      </c>
      <c r="C35" s="10" t="s">
        <v>1144</v>
      </c>
      <c r="D35" s="10" t="s">
        <v>1204</v>
      </c>
      <c r="E35" s="10"/>
    </row>
    <row r="36" spans="1:5" x14ac:dyDescent="0.3">
      <c r="A36" s="10" t="s">
        <v>342</v>
      </c>
      <c r="B36" s="10" t="s">
        <v>1205</v>
      </c>
      <c r="C36" s="10" t="s">
        <v>1126</v>
      </c>
      <c r="D36" s="10" t="s">
        <v>1206</v>
      </c>
      <c r="E36" s="10"/>
    </row>
    <row r="37" spans="1:5" x14ac:dyDescent="0.3">
      <c r="A37" s="10" t="s">
        <v>344</v>
      </c>
      <c r="B37" s="10" t="s">
        <v>1207</v>
      </c>
      <c r="C37" s="10" t="s">
        <v>1126</v>
      </c>
      <c r="D37" s="10" t="s">
        <v>488</v>
      </c>
      <c r="E37" s="10" t="s">
        <v>1208</v>
      </c>
    </row>
    <row r="38" spans="1:5" x14ac:dyDescent="0.3">
      <c r="A38" s="10" t="s">
        <v>348</v>
      </c>
      <c r="B38" s="10" t="s">
        <v>1209</v>
      </c>
      <c r="C38" s="10" t="s">
        <v>1126</v>
      </c>
      <c r="D38" s="10" t="s">
        <v>1210</v>
      </c>
      <c r="E38" s="10" t="s">
        <v>1211</v>
      </c>
    </row>
    <row r="39" spans="1:5" x14ac:dyDescent="0.3">
      <c r="A39" s="10" t="s">
        <v>348</v>
      </c>
      <c r="B39" s="10" t="s">
        <v>1212</v>
      </c>
      <c r="C39" s="10" t="s">
        <v>1144</v>
      </c>
      <c r="D39" s="10" t="s">
        <v>1213</v>
      </c>
      <c r="E39" s="10"/>
    </row>
    <row r="40" spans="1:5" x14ac:dyDescent="0.3">
      <c r="A40" s="10" t="s">
        <v>350</v>
      </c>
      <c r="B40" s="10" t="s">
        <v>1214</v>
      </c>
      <c r="C40" s="10" t="s">
        <v>1126</v>
      </c>
      <c r="D40" s="10" t="s">
        <v>755</v>
      </c>
      <c r="E40" s="10" t="s">
        <v>1215</v>
      </c>
    </row>
    <row r="41" spans="1:5" x14ac:dyDescent="0.3">
      <c r="A41" s="10" t="s">
        <v>350</v>
      </c>
      <c r="B41" s="10" t="s">
        <v>1216</v>
      </c>
      <c r="C41" s="10" t="s">
        <v>1126</v>
      </c>
      <c r="D41" s="10" t="s">
        <v>788</v>
      </c>
      <c r="E41" s="10" t="s">
        <v>1217</v>
      </c>
    </row>
    <row r="42" spans="1:5" x14ac:dyDescent="0.3">
      <c r="A42" s="10" t="s">
        <v>350</v>
      </c>
      <c r="B42" s="10" t="s">
        <v>1218</v>
      </c>
      <c r="C42" s="10" t="s">
        <v>1129</v>
      </c>
      <c r="D42" s="10" t="s">
        <v>1219</v>
      </c>
      <c r="E42" s="10" t="s">
        <v>1220</v>
      </c>
    </row>
    <row r="43" spans="1:5" x14ac:dyDescent="0.3">
      <c r="A43" s="10" t="s">
        <v>350</v>
      </c>
      <c r="B43" s="10" t="s">
        <v>1221</v>
      </c>
      <c r="C43" s="10" t="s">
        <v>1129</v>
      </c>
      <c r="D43" s="10" t="s">
        <v>1161</v>
      </c>
      <c r="E43" s="10" t="s">
        <v>1222</v>
      </c>
    </row>
    <row r="44" spans="1:5" x14ac:dyDescent="0.3">
      <c r="A44" s="10" t="s">
        <v>350</v>
      </c>
      <c r="B44" s="10" t="s">
        <v>1223</v>
      </c>
      <c r="C44" s="10" t="s">
        <v>1164</v>
      </c>
      <c r="D44" s="10" t="s">
        <v>1224</v>
      </c>
      <c r="E44" s="10" t="s">
        <v>1225</v>
      </c>
    </row>
    <row r="45" spans="1:5" x14ac:dyDescent="0.3">
      <c r="A45" s="10" t="s">
        <v>350</v>
      </c>
      <c r="B45" s="10" t="s">
        <v>1226</v>
      </c>
      <c r="C45" s="10" t="s">
        <v>1144</v>
      </c>
      <c r="D45" s="10" t="s">
        <v>1227</v>
      </c>
      <c r="E45" s="10"/>
    </row>
    <row r="46" spans="1:5" x14ac:dyDescent="0.3">
      <c r="A46" s="10" t="s">
        <v>353</v>
      </c>
      <c r="B46" s="10" t="s">
        <v>1228</v>
      </c>
      <c r="C46" s="10" t="s">
        <v>1129</v>
      </c>
      <c r="D46" s="10" t="s">
        <v>792</v>
      </c>
      <c r="E46" s="10"/>
    </row>
    <row r="47" spans="1:5" x14ac:dyDescent="0.3">
      <c r="A47" s="10" t="s">
        <v>353</v>
      </c>
      <c r="B47" s="10" t="s">
        <v>1229</v>
      </c>
      <c r="C47" s="10" t="s">
        <v>1129</v>
      </c>
      <c r="D47" s="10" t="s">
        <v>741</v>
      </c>
      <c r="E47" s="10" t="s">
        <v>1230</v>
      </c>
    </row>
    <row r="48" spans="1:5" x14ac:dyDescent="0.3">
      <c r="A48" s="10" t="s">
        <v>353</v>
      </c>
      <c r="B48" s="10" t="s">
        <v>1231</v>
      </c>
      <c r="C48" s="10" t="s">
        <v>1144</v>
      </c>
      <c r="D48" s="10" t="s">
        <v>1213</v>
      </c>
      <c r="E48" s="10"/>
    </row>
    <row r="49" spans="1:5" x14ac:dyDescent="0.3">
      <c r="A49" s="10" t="s">
        <v>356</v>
      </c>
      <c r="B49" s="10" t="s">
        <v>1232</v>
      </c>
      <c r="C49" s="10" t="s">
        <v>1129</v>
      </c>
      <c r="D49" s="10" t="s">
        <v>792</v>
      </c>
      <c r="E49" s="10"/>
    </row>
    <row r="50" spans="1:5" x14ac:dyDescent="0.3">
      <c r="A50" s="10" t="s">
        <v>359</v>
      </c>
      <c r="B50" s="10" t="s">
        <v>1233</v>
      </c>
      <c r="C50" s="10" t="s">
        <v>1126</v>
      </c>
      <c r="D50" s="10" t="s">
        <v>812</v>
      </c>
      <c r="E50" s="10"/>
    </row>
    <row r="51" spans="1:5" x14ac:dyDescent="0.3">
      <c r="A51" s="10" t="s">
        <v>359</v>
      </c>
      <c r="B51" s="10" t="s">
        <v>1234</v>
      </c>
      <c r="C51" s="10" t="s">
        <v>1144</v>
      </c>
      <c r="D51" s="10" t="s">
        <v>1235</v>
      </c>
      <c r="E51" s="10"/>
    </row>
    <row r="52" spans="1:5" x14ac:dyDescent="0.3">
      <c r="A52" s="10" t="s">
        <v>359</v>
      </c>
      <c r="B52" s="10" t="s">
        <v>1236</v>
      </c>
      <c r="C52" s="10" t="s">
        <v>1144</v>
      </c>
      <c r="D52" s="10" t="s">
        <v>1237</v>
      </c>
      <c r="E52" s="10"/>
    </row>
    <row r="53" spans="1:5" x14ac:dyDescent="0.3">
      <c r="A53" s="10" t="s">
        <v>362</v>
      </c>
      <c r="B53" s="10" t="s">
        <v>1238</v>
      </c>
      <c r="C53" s="10" t="s">
        <v>1126</v>
      </c>
      <c r="D53" s="10" t="s">
        <v>1239</v>
      </c>
      <c r="E53" s="10"/>
    </row>
    <row r="54" spans="1:5" x14ac:dyDescent="0.3">
      <c r="A54" s="10" t="s">
        <v>362</v>
      </c>
      <c r="B54" s="10" t="s">
        <v>1240</v>
      </c>
      <c r="C54" s="10" t="s">
        <v>1129</v>
      </c>
      <c r="D54" s="10" t="s">
        <v>1241</v>
      </c>
      <c r="E54" s="10" t="s">
        <v>1242</v>
      </c>
    </row>
    <row r="55" spans="1:5" x14ac:dyDescent="0.3">
      <c r="A55" s="10" t="s">
        <v>365</v>
      </c>
      <c r="B55" s="10" t="s">
        <v>1243</v>
      </c>
      <c r="C55" s="10" t="s">
        <v>1126</v>
      </c>
      <c r="D55" s="10" t="s">
        <v>843</v>
      </c>
      <c r="E55" s="10"/>
    </row>
    <row r="56" spans="1:5" x14ac:dyDescent="0.3">
      <c r="A56" s="10" t="s">
        <v>365</v>
      </c>
      <c r="B56" s="10" t="s">
        <v>1244</v>
      </c>
      <c r="C56" s="10" t="s">
        <v>1126</v>
      </c>
      <c r="D56" s="10" t="s">
        <v>849</v>
      </c>
      <c r="E56" s="10"/>
    </row>
    <row r="57" spans="1:5" x14ac:dyDescent="0.3">
      <c r="A57" s="10" t="s">
        <v>365</v>
      </c>
      <c r="B57" s="10" t="s">
        <v>1245</v>
      </c>
      <c r="C57" s="10" t="s">
        <v>1126</v>
      </c>
      <c r="D57" s="10" t="s">
        <v>788</v>
      </c>
      <c r="E57" s="10"/>
    </row>
    <row r="58" spans="1:5" x14ac:dyDescent="0.3">
      <c r="A58" s="10" t="s">
        <v>365</v>
      </c>
      <c r="B58" s="10" t="s">
        <v>1246</v>
      </c>
      <c r="C58" s="10" t="s">
        <v>1129</v>
      </c>
      <c r="D58" s="10" t="s">
        <v>792</v>
      </c>
      <c r="E58" s="10"/>
    </row>
    <row r="59" spans="1:5" x14ac:dyDescent="0.3">
      <c r="A59" s="10" t="s">
        <v>365</v>
      </c>
      <c r="B59" s="10" t="s">
        <v>1247</v>
      </c>
      <c r="C59" s="10" t="s">
        <v>1144</v>
      </c>
      <c r="D59" s="10" t="s">
        <v>1248</v>
      </c>
      <c r="E59" s="10"/>
    </row>
    <row r="60" spans="1:5" x14ac:dyDescent="0.3">
      <c r="A60" s="10" t="s">
        <v>368</v>
      </c>
      <c r="B60" s="10" t="s">
        <v>1249</v>
      </c>
      <c r="C60" s="10" t="s">
        <v>1126</v>
      </c>
      <c r="D60" s="10" t="s">
        <v>867</v>
      </c>
      <c r="E60" s="10" t="s">
        <v>1250</v>
      </c>
    </row>
    <row r="61" spans="1:5" x14ac:dyDescent="0.3">
      <c r="A61" s="10" t="s">
        <v>371</v>
      </c>
      <c r="B61" s="10" t="s">
        <v>1251</v>
      </c>
      <c r="C61" s="10" t="s">
        <v>1129</v>
      </c>
      <c r="D61" s="10" t="s">
        <v>864</v>
      </c>
      <c r="E61" s="10"/>
    </row>
    <row r="62" spans="1:5" x14ac:dyDescent="0.3">
      <c r="A62" s="10" t="s">
        <v>371</v>
      </c>
      <c r="B62" s="10" t="s">
        <v>1252</v>
      </c>
      <c r="C62" s="10" t="s">
        <v>1144</v>
      </c>
      <c r="D62" s="10" t="s">
        <v>1248</v>
      </c>
      <c r="E62" s="10"/>
    </row>
    <row r="63" spans="1:5" x14ac:dyDescent="0.3">
      <c r="A63" s="10" t="s">
        <v>374</v>
      </c>
      <c r="B63" s="10" t="s">
        <v>1253</v>
      </c>
      <c r="C63" s="10" t="s">
        <v>1129</v>
      </c>
      <c r="D63" s="10" t="s">
        <v>1254</v>
      </c>
      <c r="E63" s="10"/>
    </row>
    <row r="64" spans="1:5" x14ac:dyDescent="0.3">
      <c r="A64" s="10" t="s">
        <v>374</v>
      </c>
      <c r="B64" s="10" t="s">
        <v>1255</v>
      </c>
      <c r="C64" s="10" t="s">
        <v>1144</v>
      </c>
      <c r="D64" s="10" t="s">
        <v>1256</v>
      </c>
      <c r="E64" s="10"/>
    </row>
    <row r="65" spans="1:5" x14ac:dyDescent="0.3">
      <c r="A65" s="10" t="s">
        <v>377</v>
      </c>
      <c r="B65" s="10" t="s">
        <v>1257</v>
      </c>
      <c r="C65" s="10" t="s">
        <v>1126</v>
      </c>
      <c r="D65" s="10" t="s">
        <v>792</v>
      </c>
      <c r="E65" s="10" t="s">
        <v>1023</v>
      </c>
    </row>
    <row r="66" spans="1:5" x14ac:dyDescent="0.3">
      <c r="A66" s="10" t="s">
        <v>377</v>
      </c>
      <c r="B66" s="10" t="s">
        <v>1258</v>
      </c>
      <c r="C66" s="10" t="s">
        <v>1129</v>
      </c>
      <c r="D66" s="10" t="s">
        <v>1259</v>
      </c>
      <c r="E66" s="10" t="s">
        <v>1260</v>
      </c>
    </row>
    <row r="67" spans="1:5" x14ac:dyDescent="0.3">
      <c r="A67" s="10" t="s">
        <v>377</v>
      </c>
      <c r="B67" s="10" t="s">
        <v>1261</v>
      </c>
      <c r="C67" s="10" t="s">
        <v>1144</v>
      </c>
      <c r="D67" s="10" t="s">
        <v>1262</v>
      </c>
      <c r="E67" s="10"/>
    </row>
    <row r="68" spans="1:5" x14ac:dyDescent="0.3">
      <c r="A68" s="10" t="s">
        <v>381</v>
      </c>
      <c r="B68" s="10" t="s">
        <v>1263</v>
      </c>
      <c r="C68" s="10" t="s">
        <v>1126</v>
      </c>
      <c r="D68" s="10" t="s">
        <v>1264</v>
      </c>
      <c r="E68" s="10" t="s">
        <v>1265</v>
      </c>
    </row>
    <row r="69" spans="1:5" x14ac:dyDescent="0.3">
      <c r="A69" s="10" t="s">
        <v>384</v>
      </c>
      <c r="B69" s="10" t="s">
        <v>1266</v>
      </c>
      <c r="C69" s="10" t="s">
        <v>1126</v>
      </c>
      <c r="D69" s="10" t="s">
        <v>1267</v>
      </c>
      <c r="E69" s="10" t="s">
        <v>1268</v>
      </c>
    </row>
    <row r="70" spans="1:5" x14ac:dyDescent="0.3">
      <c r="A70" s="10" t="s">
        <v>384</v>
      </c>
      <c r="B70" s="10" t="s">
        <v>1269</v>
      </c>
      <c r="C70" s="10" t="s">
        <v>1129</v>
      </c>
      <c r="D70" s="10" t="s">
        <v>452</v>
      </c>
      <c r="E70" s="10" t="s">
        <v>1270</v>
      </c>
    </row>
    <row r="71" spans="1:5" x14ac:dyDescent="0.3">
      <c r="A71" s="10" t="s">
        <v>387</v>
      </c>
      <c r="B71" s="10" t="s">
        <v>1271</v>
      </c>
      <c r="C71" s="10" t="s">
        <v>1126</v>
      </c>
      <c r="D71" s="10" t="s">
        <v>1272</v>
      </c>
      <c r="E71" s="10"/>
    </row>
    <row r="72" spans="1:5" x14ac:dyDescent="0.3">
      <c r="A72" s="10" t="s">
        <v>390</v>
      </c>
      <c r="B72" s="10" t="s">
        <v>1273</v>
      </c>
      <c r="C72" s="10" t="s">
        <v>1129</v>
      </c>
      <c r="D72" s="10" t="s">
        <v>1274</v>
      </c>
      <c r="E72" s="10" t="s">
        <v>1275</v>
      </c>
    </row>
    <row r="73" spans="1:5" x14ac:dyDescent="0.3">
      <c r="A73" s="10" t="s">
        <v>393</v>
      </c>
      <c r="B73" s="10" t="s">
        <v>1276</v>
      </c>
      <c r="C73" s="10" t="s">
        <v>1126</v>
      </c>
      <c r="D73" s="10" t="s">
        <v>488</v>
      </c>
      <c r="E73" s="10"/>
    </row>
    <row r="74" spans="1:5" x14ac:dyDescent="0.3">
      <c r="A74" s="10" t="s">
        <v>396</v>
      </c>
      <c r="B74" s="10" t="s">
        <v>1277</v>
      </c>
      <c r="C74" s="10" t="s">
        <v>1129</v>
      </c>
      <c r="D74" s="10" t="s">
        <v>1278</v>
      </c>
      <c r="E74" s="10"/>
    </row>
    <row r="75" spans="1:5" x14ac:dyDescent="0.3">
      <c r="A75" s="10" t="s">
        <v>396</v>
      </c>
      <c r="B75" s="10" t="s">
        <v>1279</v>
      </c>
      <c r="C75" s="10" t="s">
        <v>1129</v>
      </c>
      <c r="D75" s="10" t="s">
        <v>1280</v>
      </c>
      <c r="E75" s="10"/>
    </row>
  </sheetData>
  <autoFilter ref="A1:E75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26" customWidth="1"/>
    <col min="3" max="3" width="62" customWidth="1"/>
  </cols>
  <sheetData>
    <row r="1" spans="1:3" x14ac:dyDescent="0.3">
      <c r="A1" s="9" t="s">
        <v>1416</v>
      </c>
      <c r="B1" s="9" t="s">
        <v>1417</v>
      </c>
      <c r="C1" s="9" t="s">
        <v>1418</v>
      </c>
    </row>
    <row r="2" spans="1:3" x14ac:dyDescent="0.3">
      <c r="A2" s="10" t="s">
        <v>1052</v>
      </c>
      <c r="B2" s="10" t="s">
        <v>1077</v>
      </c>
      <c r="C2" s="10" t="s">
        <v>1419</v>
      </c>
    </row>
    <row r="3" spans="1:3" x14ac:dyDescent="0.3">
      <c r="A3" s="10" t="s">
        <v>1052</v>
      </c>
      <c r="B3" s="10" t="s">
        <v>1076</v>
      </c>
      <c r="C3" s="10" t="s">
        <v>1420</v>
      </c>
    </row>
    <row r="4" spans="1:3" x14ac:dyDescent="0.3">
      <c r="A4" s="10" t="s">
        <v>1076</v>
      </c>
      <c r="B4" s="10" t="s">
        <v>1077</v>
      </c>
      <c r="C4" s="10" t="s">
        <v>1421</v>
      </c>
    </row>
    <row r="5" spans="1:3" x14ac:dyDescent="0.3">
      <c r="A5" s="10" t="s">
        <v>1076</v>
      </c>
      <c r="B5" s="10" t="s">
        <v>1055</v>
      </c>
      <c r="C5" s="10" t="s">
        <v>1422</v>
      </c>
    </row>
    <row r="6" spans="1:3" x14ac:dyDescent="0.3">
      <c r="A6" s="10" t="s">
        <v>1077</v>
      </c>
      <c r="B6" s="10" t="s">
        <v>1078</v>
      </c>
      <c r="C6" s="10" t="s">
        <v>1423</v>
      </c>
    </row>
    <row r="7" spans="1:3" x14ac:dyDescent="0.3">
      <c r="A7" s="10" t="s">
        <v>1052</v>
      </c>
      <c r="B7" s="10" t="s">
        <v>1079</v>
      </c>
      <c r="C7" s="10" t="s">
        <v>1424</v>
      </c>
    </row>
    <row r="8" spans="1:3" x14ac:dyDescent="0.3">
      <c r="A8" s="10" t="s">
        <v>1077</v>
      </c>
      <c r="B8" s="10" t="s">
        <v>1074</v>
      </c>
      <c r="C8" s="10" t="s">
        <v>1425</v>
      </c>
    </row>
    <row r="9" spans="1:3" x14ac:dyDescent="0.3">
      <c r="A9" s="10" t="s">
        <v>1074</v>
      </c>
      <c r="B9" s="10" t="s">
        <v>1080</v>
      </c>
      <c r="C9" s="10" t="s">
        <v>1426</v>
      </c>
    </row>
    <row r="10" spans="1:3" x14ac:dyDescent="0.3">
      <c r="A10" s="10"/>
      <c r="B10" s="10"/>
      <c r="C10" s="10"/>
    </row>
    <row r="11" spans="1:3" ht="52.8" x14ac:dyDescent="0.3">
      <c r="A11" s="10" t="s">
        <v>1427</v>
      </c>
      <c r="B11" s="10"/>
      <c r="C11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4"/>
  <sheetViews>
    <sheetView zoomScaleNormal="100" workbookViewId="0">
      <pane ySplit="1" topLeftCell="A30" activePane="bottomLeft" state="frozen"/>
      <selection pane="bottomLeft" activeCell="C16" sqref="C16"/>
    </sheetView>
  </sheetViews>
  <sheetFormatPr defaultColWidth="8.6640625" defaultRowHeight="14.4" x14ac:dyDescent="0.3"/>
  <cols>
    <col min="1" max="1" width="30" customWidth="1"/>
    <col min="2" max="2" width="22" customWidth="1"/>
    <col min="3" max="3" width="44" customWidth="1"/>
    <col min="4" max="4" width="110" customWidth="1"/>
  </cols>
  <sheetData>
    <row r="1" spans="1:4" x14ac:dyDescent="0.3">
      <c r="A1" s="9" t="s">
        <v>1281</v>
      </c>
      <c r="B1" s="9" t="s">
        <v>1282</v>
      </c>
      <c r="C1" s="9" t="s">
        <v>1283</v>
      </c>
      <c r="D1" s="9" t="s">
        <v>1284</v>
      </c>
    </row>
    <row r="2" spans="1:4" x14ac:dyDescent="0.3">
      <c r="A2" s="10" t="s">
        <v>1285</v>
      </c>
      <c r="B2" s="10" t="s">
        <v>1286</v>
      </c>
      <c r="C2" s="10" t="s">
        <v>1287</v>
      </c>
      <c r="D2" s="10" t="s">
        <v>1288</v>
      </c>
    </row>
    <row r="3" spans="1:4" x14ac:dyDescent="0.3">
      <c r="A3" s="10" t="s">
        <v>1289</v>
      </c>
      <c r="B3" s="10" t="s">
        <v>1286</v>
      </c>
      <c r="C3" s="10" t="s">
        <v>1290</v>
      </c>
      <c r="D3" s="10" t="s">
        <v>1291</v>
      </c>
    </row>
    <row r="4" spans="1:4" x14ac:dyDescent="0.3">
      <c r="A4" s="10" t="s">
        <v>1292</v>
      </c>
      <c r="B4" s="10" t="s">
        <v>1293</v>
      </c>
      <c r="C4" s="10" t="s">
        <v>1294</v>
      </c>
      <c r="D4" s="10" t="s">
        <v>1295</v>
      </c>
    </row>
    <row r="5" spans="1:4" x14ac:dyDescent="0.3">
      <c r="A5" s="10" t="s">
        <v>1296</v>
      </c>
      <c r="B5" s="10" t="s">
        <v>1286</v>
      </c>
      <c r="C5" s="10" t="s">
        <v>1297</v>
      </c>
      <c r="D5" s="10" t="s">
        <v>1298</v>
      </c>
    </row>
    <row r="6" spans="1:4" x14ac:dyDescent="0.3">
      <c r="A6" s="10" t="s">
        <v>1299</v>
      </c>
      <c r="B6" s="10" t="s">
        <v>1286</v>
      </c>
      <c r="C6" s="10" t="s">
        <v>1300</v>
      </c>
      <c r="D6" s="10" t="s">
        <v>1301</v>
      </c>
    </row>
    <row r="7" spans="1:4" x14ac:dyDescent="0.3">
      <c r="A7" s="10" t="s">
        <v>1302</v>
      </c>
      <c r="B7" s="10" t="s">
        <v>1286</v>
      </c>
      <c r="C7" s="10" t="s">
        <v>1303</v>
      </c>
      <c r="D7" s="10" t="s">
        <v>1304</v>
      </c>
    </row>
    <row r="8" spans="1:4" x14ac:dyDescent="0.3">
      <c r="A8" s="10" t="s">
        <v>1305</v>
      </c>
      <c r="B8" s="10" t="s">
        <v>1286</v>
      </c>
      <c r="C8" s="10" t="s">
        <v>1306</v>
      </c>
      <c r="D8" s="10" t="s">
        <v>1307</v>
      </c>
    </row>
    <row r="9" spans="1:4" x14ac:dyDescent="0.3">
      <c r="A9" s="10" t="s">
        <v>1308</v>
      </c>
      <c r="B9" s="10" t="s">
        <v>1293</v>
      </c>
      <c r="C9" s="10" t="s">
        <v>1309</v>
      </c>
      <c r="D9" s="10" t="s">
        <v>1310</v>
      </c>
    </row>
    <row r="10" spans="1:4" x14ac:dyDescent="0.3">
      <c r="A10" s="10" t="s">
        <v>1311</v>
      </c>
      <c r="B10" s="10" t="s">
        <v>1293</v>
      </c>
      <c r="C10" s="10" t="s">
        <v>1312</v>
      </c>
      <c r="D10" s="10" t="s">
        <v>1313</v>
      </c>
    </row>
    <row r="11" spans="1:4" x14ac:dyDescent="0.3">
      <c r="A11" s="10" t="s">
        <v>1314</v>
      </c>
      <c r="B11" s="10" t="s">
        <v>1293</v>
      </c>
      <c r="C11" s="10" t="s">
        <v>1315</v>
      </c>
      <c r="D11" s="10" t="s">
        <v>1316</v>
      </c>
    </row>
    <row r="12" spans="1:4" ht="39.6" x14ac:dyDescent="0.3">
      <c r="A12" s="10" t="s">
        <v>1317</v>
      </c>
      <c r="B12" s="10" t="s">
        <v>1318</v>
      </c>
      <c r="C12" s="10" t="s">
        <v>1319</v>
      </c>
      <c r="D12" s="10" t="s">
        <v>1320</v>
      </c>
    </row>
    <row r="13" spans="1:4" ht="26.4" x14ac:dyDescent="0.3">
      <c r="A13" s="10" t="s">
        <v>1321</v>
      </c>
      <c r="B13" s="10" t="s">
        <v>1286</v>
      </c>
      <c r="C13" s="10" t="s">
        <v>1322</v>
      </c>
      <c r="D13" s="10" t="s">
        <v>1323</v>
      </c>
    </row>
    <row r="14" spans="1:4" ht="26.4" x14ac:dyDescent="0.3">
      <c r="A14" s="10" t="s">
        <v>1324</v>
      </c>
      <c r="B14" s="10" t="s">
        <v>1293</v>
      </c>
      <c r="C14" s="10" t="s">
        <v>1325</v>
      </c>
      <c r="D14" s="10" t="s">
        <v>1326</v>
      </c>
    </row>
    <row r="15" spans="1:4" ht="39.6" x14ac:dyDescent="0.3">
      <c r="A15" s="10" t="s">
        <v>1327</v>
      </c>
      <c r="B15" s="10" t="s">
        <v>1293</v>
      </c>
      <c r="C15" s="10" t="s">
        <v>1328</v>
      </c>
      <c r="D15" s="10" t="s">
        <v>1329</v>
      </c>
    </row>
    <row r="16" spans="1:4" x14ac:dyDescent="0.3">
      <c r="A16" s="10" t="s">
        <v>1330</v>
      </c>
      <c r="B16" s="10" t="s">
        <v>1293</v>
      </c>
      <c r="C16" s="10" t="s">
        <v>1331</v>
      </c>
      <c r="D16" s="10" t="s">
        <v>1332</v>
      </c>
    </row>
    <row r="17" spans="1:4" x14ac:dyDescent="0.3">
      <c r="A17" s="10" t="s">
        <v>1333</v>
      </c>
      <c r="B17" s="10" t="s">
        <v>1334</v>
      </c>
      <c r="C17" s="10" t="s">
        <v>1335</v>
      </c>
      <c r="D17" s="10" t="s">
        <v>1336</v>
      </c>
    </row>
    <row r="18" spans="1:4" x14ac:dyDescent="0.3">
      <c r="A18" s="10" t="s">
        <v>1337</v>
      </c>
      <c r="B18" s="10" t="s">
        <v>1293</v>
      </c>
      <c r="C18" s="10" t="s">
        <v>1335</v>
      </c>
      <c r="D18" s="10" t="s">
        <v>1338</v>
      </c>
    </row>
    <row r="19" spans="1:4" ht="26.4" x14ac:dyDescent="0.3">
      <c r="A19" s="10" t="s">
        <v>1339</v>
      </c>
      <c r="B19" s="10" t="s">
        <v>1286</v>
      </c>
      <c r="C19" s="10" t="s">
        <v>1340</v>
      </c>
      <c r="D19" s="10" t="s">
        <v>1341</v>
      </c>
    </row>
    <row r="20" spans="1:4" x14ac:dyDescent="0.3">
      <c r="A20" s="10" t="s">
        <v>1342</v>
      </c>
      <c r="B20" s="10" t="s">
        <v>1286</v>
      </c>
      <c r="C20" s="10" t="s">
        <v>1343</v>
      </c>
      <c r="D20" s="10" t="s">
        <v>1344</v>
      </c>
    </row>
    <row r="21" spans="1:4" x14ac:dyDescent="0.3">
      <c r="A21" s="10" t="s">
        <v>1345</v>
      </c>
      <c r="B21" s="10" t="s">
        <v>1286</v>
      </c>
      <c r="C21" s="10" t="s">
        <v>1346</v>
      </c>
      <c r="D21" s="10" t="s">
        <v>1347</v>
      </c>
    </row>
    <row r="22" spans="1:4" x14ac:dyDescent="0.3">
      <c r="A22" s="10" t="s">
        <v>1348</v>
      </c>
      <c r="B22" s="10" t="s">
        <v>1286</v>
      </c>
      <c r="C22" s="10" t="s">
        <v>1349</v>
      </c>
      <c r="D22" s="10" t="s">
        <v>1350</v>
      </c>
    </row>
    <row r="23" spans="1:4" x14ac:dyDescent="0.3">
      <c r="A23" s="10" t="s">
        <v>1351</v>
      </c>
      <c r="B23" s="10" t="s">
        <v>1293</v>
      </c>
      <c r="C23" s="10" t="s">
        <v>1352</v>
      </c>
      <c r="D23" s="10" t="s">
        <v>1353</v>
      </c>
    </row>
    <row r="24" spans="1:4" ht="26.4" x14ac:dyDescent="0.3">
      <c r="A24" s="10" t="s">
        <v>1354</v>
      </c>
      <c r="B24" s="10" t="s">
        <v>1286</v>
      </c>
      <c r="C24" s="10" t="s">
        <v>1355</v>
      </c>
      <c r="D24" s="10" t="s">
        <v>1356</v>
      </c>
    </row>
    <row r="25" spans="1:4" ht="26.4" x14ac:dyDescent="0.3">
      <c r="A25" s="10" t="s">
        <v>1357</v>
      </c>
      <c r="B25" s="10" t="s">
        <v>1293</v>
      </c>
      <c r="C25" s="10" t="s">
        <v>1358</v>
      </c>
      <c r="D25" s="10" t="s">
        <v>1359</v>
      </c>
    </row>
    <row r="26" spans="1:4" x14ac:dyDescent="0.3">
      <c r="A26" s="10" t="s">
        <v>1360</v>
      </c>
      <c r="B26" s="10" t="s">
        <v>1286</v>
      </c>
      <c r="C26" s="10" t="s">
        <v>1361</v>
      </c>
      <c r="D26" s="10" t="s">
        <v>1362</v>
      </c>
    </row>
    <row r="27" spans="1:4" x14ac:dyDescent="0.3">
      <c r="A27" s="10" t="s">
        <v>1363</v>
      </c>
      <c r="B27" s="10" t="s">
        <v>1286</v>
      </c>
      <c r="C27" s="10" t="s">
        <v>1364</v>
      </c>
      <c r="D27" s="10" t="s">
        <v>1365</v>
      </c>
    </row>
    <row r="28" spans="1:4" x14ac:dyDescent="0.3">
      <c r="A28" s="10" t="s">
        <v>1366</v>
      </c>
      <c r="B28" s="10" t="s">
        <v>1286</v>
      </c>
      <c r="C28" s="10" t="s">
        <v>1367</v>
      </c>
      <c r="D28" s="10" t="s">
        <v>1368</v>
      </c>
    </row>
    <row r="29" spans="1:4" x14ac:dyDescent="0.3">
      <c r="A29" s="10" t="s">
        <v>1369</v>
      </c>
      <c r="B29" s="10" t="s">
        <v>1293</v>
      </c>
      <c r="C29" s="10" t="s">
        <v>1370</v>
      </c>
      <c r="D29" s="10" t="s">
        <v>1371</v>
      </c>
    </row>
    <row r="30" spans="1:4" x14ac:dyDescent="0.3">
      <c r="A30" s="10" t="s">
        <v>1372</v>
      </c>
      <c r="B30" s="10" t="s">
        <v>1293</v>
      </c>
      <c r="C30" s="10" t="s">
        <v>1373</v>
      </c>
      <c r="D30" s="10" t="s">
        <v>1374</v>
      </c>
    </row>
    <row r="31" spans="1:4" x14ac:dyDescent="0.3">
      <c r="A31" s="10" t="s">
        <v>1375</v>
      </c>
      <c r="B31" s="10" t="s">
        <v>1286</v>
      </c>
      <c r="C31" s="10" t="s">
        <v>1376</v>
      </c>
      <c r="D31" s="10" t="s">
        <v>1377</v>
      </c>
    </row>
    <row r="32" spans="1:4" x14ac:dyDescent="0.3">
      <c r="A32" s="10" t="s">
        <v>1378</v>
      </c>
      <c r="B32" s="10" t="s">
        <v>1293</v>
      </c>
      <c r="C32" s="10" t="s">
        <v>1376</v>
      </c>
      <c r="D32" s="10" t="s">
        <v>1379</v>
      </c>
    </row>
    <row r="33" spans="1:4" x14ac:dyDescent="0.3">
      <c r="A33" s="10" t="s">
        <v>1380</v>
      </c>
      <c r="B33" s="10" t="s">
        <v>1286</v>
      </c>
      <c r="C33" s="10" t="s">
        <v>1381</v>
      </c>
      <c r="D33" s="10" t="s">
        <v>1382</v>
      </c>
    </row>
    <row r="34" spans="1:4" x14ac:dyDescent="0.3">
      <c r="A34" s="10" t="s">
        <v>1383</v>
      </c>
      <c r="B34" s="10" t="s">
        <v>1286</v>
      </c>
      <c r="C34" s="10" t="s">
        <v>1384</v>
      </c>
      <c r="D34" s="10" t="s">
        <v>1385</v>
      </c>
    </row>
    <row r="35" spans="1:4" x14ac:dyDescent="0.3">
      <c r="A35" s="10" t="s">
        <v>1386</v>
      </c>
      <c r="B35" s="10" t="s">
        <v>1286</v>
      </c>
      <c r="C35" s="10" t="s">
        <v>1387</v>
      </c>
      <c r="D35" s="10" t="s">
        <v>1388</v>
      </c>
    </row>
    <row r="36" spans="1:4" x14ac:dyDescent="0.3">
      <c r="A36" s="10" t="s">
        <v>1389</v>
      </c>
      <c r="B36" s="10" t="s">
        <v>1286</v>
      </c>
      <c r="C36" s="10" t="s">
        <v>1390</v>
      </c>
      <c r="D36" s="10" t="s">
        <v>1391</v>
      </c>
    </row>
    <row r="37" spans="1:4" x14ac:dyDescent="0.3">
      <c r="A37" s="10" t="s">
        <v>1392</v>
      </c>
      <c r="B37" s="10" t="s">
        <v>1286</v>
      </c>
      <c r="C37" s="10" t="s">
        <v>1393</v>
      </c>
      <c r="D37" s="10" t="s">
        <v>1394</v>
      </c>
    </row>
    <row r="38" spans="1:4" x14ac:dyDescent="0.3">
      <c r="A38" s="10" t="s">
        <v>1395</v>
      </c>
      <c r="B38" s="10" t="s">
        <v>1286</v>
      </c>
      <c r="C38" s="10" t="s">
        <v>1396</v>
      </c>
      <c r="D38" s="10" t="s">
        <v>1397</v>
      </c>
    </row>
    <row r="39" spans="1:4" x14ac:dyDescent="0.3">
      <c r="A39" s="10" t="s">
        <v>1398</v>
      </c>
      <c r="B39" s="10" t="s">
        <v>1286</v>
      </c>
      <c r="C39" s="10" t="s">
        <v>1399</v>
      </c>
      <c r="D39" s="10" t="s">
        <v>1400</v>
      </c>
    </row>
    <row r="40" spans="1:4" x14ac:dyDescent="0.3">
      <c r="A40" s="10" t="s">
        <v>1401</v>
      </c>
      <c r="B40" s="10" t="s">
        <v>1318</v>
      </c>
      <c r="C40" s="10" t="s">
        <v>1402</v>
      </c>
      <c r="D40" s="10" t="s">
        <v>1403</v>
      </c>
    </row>
    <row r="41" spans="1:4" x14ac:dyDescent="0.3">
      <c r="A41" s="10" t="s">
        <v>1404</v>
      </c>
      <c r="B41" s="10" t="s">
        <v>1293</v>
      </c>
      <c r="C41" s="10" t="s">
        <v>1405</v>
      </c>
      <c r="D41" s="10" t="s">
        <v>1406</v>
      </c>
    </row>
    <row r="42" spans="1:4" x14ac:dyDescent="0.3">
      <c r="A42" s="10" t="s">
        <v>1407</v>
      </c>
      <c r="B42" s="10" t="s">
        <v>1293</v>
      </c>
      <c r="C42" s="10" t="s">
        <v>1408</v>
      </c>
      <c r="D42" s="10" t="s">
        <v>1409</v>
      </c>
    </row>
    <row r="43" spans="1:4" x14ac:dyDescent="0.3">
      <c r="A43" s="10" t="s">
        <v>1410</v>
      </c>
      <c r="B43" s="10" t="s">
        <v>1293</v>
      </c>
      <c r="C43" s="10" t="s">
        <v>1411</v>
      </c>
      <c r="D43" s="10" t="s">
        <v>1412</v>
      </c>
    </row>
    <row r="44" spans="1:4" x14ac:dyDescent="0.3">
      <c r="A44" s="10" t="s">
        <v>1413</v>
      </c>
      <c r="B44" s="10" t="s">
        <v>1293</v>
      </c>
      <c r="C44" s="10" t="s">
        <v>1414</v>
      </c>
      <c r="D44" s="10" t="s">
        <v>1415</v>
      </c>
    </row>
  </sheetData>
  <autoFilter ref="A1:D44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tabSelected="1" zoomScaleNormal="100" workbookViewId="0">
      <pane ySplit="1" topLeftCell="A2" activePane="bottomLeft" state="frozen"/>
      <selection pane="bottomLeft" activeCell="A11" sqref="A11"/>
    </sheetView>
  </sheetViews>
  <sheetFormatPr defaultColWidth="8.6640625" defaultRowHeight="14.4" x14ac:dyDescent="0.3"/>
  <cols>
    <col min="1" max="1" width="28" customWidth="1"/>
    <col min="2" max="2" width="80" customWidth="1"/>
    <col min="3" max="3" width="10" customWidth="1"/>
  </cols>
  <sheetData>
    <row r="1" spans="1:3" ht="15" customHeight="1" x14ac:dyDescent="0.3">
      <c r="A1" s="9" t="s">
        <v>1428</v>
      </c>
      <c r="B1" s="9" t="s">
        <v>1429</v>
      </c>
      <c r="C1" s="9" t="s">
        <v>1430</v>
      </c>
    </row>
    <row r="2" spans="1:3" ht="15" customHeight="1" x14ac:dyDescent="0.3">
      <c r="A2" s="10" t="s">
        <v>1431</v>
      </c>
      <c r="B2" s="10" t="s">
        <v>1432</v>
      </c>
      <c r="C2" s="10" t="s">
        <v>1433</v>
      </c>
    </row>
    <row r="3" spans="1:3" ht="15" customHeight="1" x14ac:dyDescent="0.3">
      <c r="A3" s="10" t="s">
        <v>1434</v>
      </c>
      <c r="B3" s="10" t="s">
        <v>1435</v>
      </c>
      <c r="C3" s="10" t="s">
        <v>1433</v>
      </c>
    </row>
    <row r="4" spans="1:3" ht="15" customHeight="1" x14ac:dyDescent="0.3">
      <c r="A4" s="10" t="s">
        <v>1436</v>
      </c>
      <c r="B4" s="10" t="s">
        <v>1437</v>
      </c>
      <c r="C4" s="10" t="s">
        <v>1433</v>
      </c>
    </row>
    <row r="5" spans="1:3" ht="15" customHeight="1" x14ac:dyDescent="0.3">
      <c r="A5" s="10" t="s">
        <v>1438</v>
      </c>
      <c r="B5" s="10" t="s">
        <v>1439</v>
      </c>
      <c r="C5" s="10" t="s">
        <v>1433</v>
      </c>
    </row>
    <row r="6" spans="1:3" ht="15" customHeight="1" x14ac:dyDescent="0.3">
      <c r="A6" s="10" t="s">
        <v>1440</v>
      </c>
      <c r="B6" s="10" t="s">
        <v>1441</v>
      </c>
      <c r="C6" s="10" t="s">
        <v>1433</v>
      </c>
    </row>
    <row r="7" spans="1:3" ht="15" customHeight="1" x14ac:dyDescent="0.3">
      <c r="A7" s="10" t="s">
        <v>1442</v>
      </c>
      <c r="B7" s="10" t="s">
        <v>1443</v>
      </c>
      <c r="C7" s="10" t="s">
        <v>1433</v>
      </c>
    </row>
    <row r="8" spans="1:3" ht="15" customHeight="1" x14ac:dyDescent="0.3">
      <c r="A8" s="10" t="s">
        <v>1444</v>
      </c>
      <c r="B8" s="10" t="s">
        <v>1445</v>
      </c>
      <c r="C8" s="10" t="s">
        <v>1433</v>
      </c>
    </row>
    <row r="9" spans="1:3" ht="15" customHeight="1" x14ac:dyDescent="0.3">
      <c r="A9" s="10" t="s">
        <v>1446</v>
      </c>
      <c r="B9" s="10" t="s">
        <v>1447</v>
      </c>
      <c r="C9" s="10" t="s">
        <v>1433</v>
      </c>
    </row>
    <row r="10" spans="1:3" ht="15" customHeight="1" x14ac:dyDescent="0.3">
      <c r="A10" s="10" t="s">
        <v>1448</v>
      </c>
      <c r="B10" s="10" t="s">
        <v>1449</v>
      </c>
      <c r="C10" s="10" t="s">
        <v>1433</v>
      </c>
    </row>
    <row r="11" spans="1:3" ht="15" customHeight="1" x14ac:dyDescent="0.3">
      <c r="A11" s="10" t="s">
        <v>1450</v>
      </c>
      <c r="B11" s="10" t="s">
        <v>1451</v>
      </c>
      <c r="C11" s="10" t="s">
        <v>1433</v>
      </c>
    </row>
    <row r="12" spans="1:3" ht="15" customHeight="1" x14ac:dyDescent="0.3">
      <c r="A12" s="10" t="s">
        <v>1452</v>
      </c>
      <c r="B12" s="10" t="s">
        <v>1453</v>
      </c>
      <c r="C12" s="10" t="s">
        <v>1433</v>
      </c>
    </row>
    <row r="13" spans="1:3" ht="15" customHeight="1" x14ac:dyDescent="0.3">
      <c r="A13" s="10" t="s">
        <v>1454</v>
      </c>
      <c r="B13" s="10" t="s">
        <v>1455</v>
      </c>
      <c r="C13" s="10" t="s">
        <v>1433</v>
      </c>
    </row>
  </sheetData>
  <autoFilter ref="A1:C13" xr:uid="{00000000-0009-0000-0000-000009000000}"/>
  <dataValidations count="1">
    <dataValidation type="list" sqref="C2:C13" xr:uid="{00000000-0002-0000-0900-000000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8.6640625" defaultRowHeight="14.4" x14ac:dyDescent="0.3"/>
  <cols>
    <col min="1" max="1" width="24" customWidth="1"/>
    <col min="2" max="2" width="100" customWidth="1"/>
  </cols>
  <sheetData>
    <row r="1" spans="1:2" ht="15" customHeight="1" x14ac:dyDescent="0.3">
      <c r="A1" s="9" t="s">
        <v>1456</v>
      </c>
      <c r="B1" s="9" t="s">
        <v>1457</v>
      </c>
    </row>
    <row r="2" spans="1:2" ht="15" customHeight="1" x14ac:dyDescent="0.3">
      <c r="A2" s="10" t="s">
        <v>1458</v>
      </c>
      <c r="B2" s="10" t="s">
        <v>1459</v>
      </c>
    </row>
    <row r="3" spans="1:2" ht="23.25" customHeight="1" x14ac:dyDescent="0.3">
      <c r="A3" s="10" t="s">
        <v>1460</v>
      </c>
      <c r="B3" s="10" t="s">
        <v>1461</v>
      </c>
    </row>
    <row r="4" spans="1:2" ht="15" customHeight="1" x14ac:dyDescent="0.3">
      <c r="A4" s="10" t="s">
        <v>1462</v>
      </c>
      <c r="B4" s="10" t="s">
        <v>1463</v>
      </c>
    </row>
    <row r="5" spans="1:2" ht="15" customHeight="1" x14ac:dyDescent="0.3">
      <c r="A5" s="10" t="s">
        <v>1464</v>
      </c>
      <c r="B5" s="10" t="s">
        <v>1465</v>
      </c>
    </row>
    <row r="6" spans="1:2" ht="15" customHeight="1" x14ac:dyDescent="0.3">
      <c r="A6" s="10" t="s">
        <v>1466</v>
      </c>
      <c r="B6" s="10" t="s">
        <v>1467</v>
      </c>
    </row>
    <row r="7" spans="1:2" ht="15" customHeight="1" x14ac:dyDescent="0.3">
      <c r="A7" s="10" t="s">
        <v>1468</v>
      </c>
      <c r="B7" s="10" t="s">
        <v>1469</v>
      </c>
    </row>
    <row r="8" spans="1:2" ht="15" customHeight="1" x14ac:dyDescent="0.3">
      <c r="A8" s="10" t="s">
        <v>1470</v>
      </c>
      <c r="B8" s="10" t="s">
        <v>1471</v>
      </c>
    </row>
    <row r="9" spans="1:2" x14ac:dyDescent="0.3">
      <c r="A9" s="10" t="s">
        <v>1472</v>
      </c>
      <c r="B9" s="10" t="s">
        <v>1473</v>
      </c>
    </row>
    <row r="10" spans="1:2" x14ac:dyDescent="0.3">
      <c r="A10" s="10" t="s">
        <v>1474</v>
      </c>
      <c r="B10" s="10" t="s">
        <v>1475</v>
      </c>
    </row>
    <row r="11" spans="1:2" x14ac:dyDescent="0.3">
      <c r="A11" s="10" t="s">
        <v>1476</v>
      </c>
      <c r="B11" s="10" t="s">
        <v>1477</v>
      </c>
    </row>
    <row r="12" spans="1:2" x14ac:dyDescent="0.3">
      <c r="A12" s="10" t="s">
        <v>1478</v>
      </c>
      <c r="B12" s="10" t="s">
        <v>1479</v>
      </c>
    </row>
    <row r="13" spans="1:2" x14ac:dyDescent="0.3">
      <c r="A13" s="10" t="s">
        <v>15</v>
      </c>
      <c r="B13" s="10" t="s">
        <v>1480</v>
      </c>
    </row>
    <row r="14" spans="1:2" ht="26.4" x14ac:dyDescent="0.3">
      <c r="A14" s="10" t="s">
        <v>1481</v>
      </c>
      <c r="B14" s="10" t="s">
        <v>1482</v>
      </c>
    </row>
    <row r="15" spans="1:2" ht="26.4" x14ac:dyDescent="0.3">
      <c r="A15" s="10" t="s">
        <v>1483</v>
      </c>
      <c r="B15" s="10" t="s">
        <v>1484</v>
      </c>
    </row>
    <row r="16" spans="1:2" x14ac:dyDescent="0.3">
      <c r="A16" s="10" t="s">
        <v>1485</v>
      </c>
      <c r="B16" s="10" t="s">
        <v>1486</v>
      </c>
    </row>
    <row r="17" spans="1:2" x14ac:dyDescent="0.3">
      <c r="A17" s="10" t="s">
        <v>1487</v>
      </c>
      <c r="B17" s="10" t="s">
        <v>1488</v>
      </c>
    </row>
  </sheetData>
  <autoFilter ref="A1:B17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zoomScaleNormal="100" workbookViewId="0">
      <pane ySplit="1" topLeftCell="A2" activePane="bottomLeft" state="frozen"/>
      <selection pane="bottomLeft" activeCell="B16" sqref="B16"/>
    </sheetView>
  </sheetViews>
  <sheetFormatPr defaultColWidth="8.6640625" defaultRowHeight="14.4" x14ac:dyDescent="0.3"/>
  <cols>
    <col min="1" max="1" width="8" customWidth="1"/>
    <col min="2" max="2" width="70" customWidth="1"/>
    <col min="3" max="3" width="10" customWidth="1"/>
  </cols>
  <sheetData>
    <row r="1" spans="1:3" ht="15" customHeight="1" x14ac:dyDescent="0.3">
      <c r="A1" s="9" t="s">
        <v>1489</v>
      </c>
      <c r="B1" s="9" t="s">
        <v>2</v>
      </c>
      <c r="C1" s="9" t="s">
        <v>1430</v>
      </c>
    </row>
    <row r="2" spans="1:3" ht="15" customHeight="1" x14ac:dyDescent="0.3">
      <c r="A2" s="10">
        <v>1</v>
      </c>
      <c r="B2" s="10" t="s">
        <v>1490</v>
      </c>
      <c r="C2" s="10" t="s">
        <v>1433</v>
      </c>
    </row>
    <row r="3" spans="1:3" ht="15" customHeight="1" x14ac:dyDescent="0.3">
      <c r="A3" s="14">
        <v>2</v>
      </c>
      <c r="B3" s="14" t="s">
        <v>1491</v>
      </c>
      <c r="C3" s="14" t="s">
        <v>1433</v>
      </c>
    </row>
    <row r="4" spans="1:3" ht="15" customHeight="1" x14ac:dyDescent="0.3">
      <c r="A4" s="10">
        <v>3</v>
      </c>
      <c r="B4" s="10" t="s">
        <v>1492</v>
      </c>
      <c r="C4" s="10" t="s">
        <v>1433</v>
      </c>
    </row>
    <row r="5" spans="1:3" ht="15" customHeight="1" x14ac:dyDescent="0.3">
      <c r="A5" s="10">
        <v>4</v>
      </c>
      <c r="B5" s="10" t="s">
        <v>1493</v>
      </c>
      <c r="C5" s="10" t="s">
        <v>1433</v>
      </c>
    </row>
    <row r="6" spans="1:3" ht="15" customHeight="1" x14ac:dyDescent="0.3">
      <c r="A6" s="10">
        <v>5</v>
      </c>
      <c r="B6" s="10" t="s">
        <v>1494</v>
      </c>
      <c r="C6" s="10" t="s">
        <v>1433</v>
      </c>
    </row>
    <row r="7" spans="1:3" ht="15" customHeight="1" x14ac:dyDescent="0.3">
      <c r="A7" s="10">
        <v>6</v>
      </c>
      <c r="B7" s="10" t="s">
        <v>1495</v>
      </c>
      <c r="C7" s="10" t="s">
        <v>1433</v>
      </c>
    </row>
    <row r="8" spans="1:3" ht="15" customHeight="1" x14ac:dyDescent="0.3">
      <c r="A8" s="10">
        <v>7</v>
      </c>
      <c r="B8" s="10" t="s">
        <v>1496</v>
      </c>
      <c r="C8" s="10" t="s">
        <v>1433</v>
      </c>
    </row>
    <row r="9" spans="1:3" ht="15" customHeight="1" x14ac:dyDescent="0.3">
      <c r="A9" s="10">
        <v>8</v>
      </c>
      <c r="B9" s="10" t="s">
        <v>1497</v>
      </c>
      <c r="C9" s="10" t="s">
        <v>1433</v>
      </c>
    </row>
    <row r="10" spans="1:3" ht="15" customHeight="1" x14ac:dyDescent="0.3">
      <c r="A10" s="10">
        <v>9</v>
      </c>
      <c r="B10" s="10" t="s">
        <v>1498</v>
      </c>
      <c r="C10" s="10" t="s">
        <v>1433</v>
      </c>
    </row>
  </sheetData>
  <autoFilter ref="A1:C10" xr:uid="{00000000-0009-0000-0000-00000B000000}"/>
  <dataValidations count="1">
    <dataValidation type="list" sqref="C2:C10" xr:uid="{00000000-0002-0000-0B00-000000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API Endpoints</vt:lpstr>
      <vt:lpstr>Domain Entities</vt:lpstr>
      <vt:lpstr>Entity Fields</vt:lpstr>
      <vt:lpstr>Relationships</vt:lpstr>
      <vt:lpstr>Enums</vt:lpstr>
      <vt:lpstr>Constraints &amp; Indexes</vt:lpstr>
      <vt:lpstr>Booking Lifecycle</vt:lpstr>
      <vt:lpstr>DTO Catalog</vt:lpstr>
      <vt:lpstr>Practice Topics</vt:lpstr>
      <vt:lpstr>Conventions</vt:lpstr>
      <vt:lpstr>Build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Ruturaj Parkhande</cp:lastModifiedBy>
  <cp:revision>0</cp:revision>
  <dcterms:created xsi:type="dcterms:W3CDTF">2026-10-22T21:07:15Z</dcterms:created>
  <dcterms:modified xsi:type="dcterms:W3CDTF">2026-10-27T13:31:54Z</dcterms:modified>
  <dc:language>en-US</dc:language>
</cp:coreProperties>
</file>